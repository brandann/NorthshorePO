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40" windowWidth="27795" windowHeight="12465"/>
  </bookViews>
  <sheets>
    <sheet name="Sheet1" sheetId="1" r:id="rId1"/>
    <sheet name="Sheet2" sheetId="2" r:id="rId2"/>
    <sheet name="Sheet3" sheetId="3" r:id="rId3"/>
  </sheets>
  <functionGroups builtInGroupCount="17"/>
  <definedNames>
    <definedName name="_xlnm._FilterDatabase" localSheetId="1" hidden="1">Sheet2!$A$1:$D$1</definedName>
    <definedName name="ATTN">Sheet1!$C$12</definedName>
    <definedName name="DATE">Sheet1!$C$15</definedName>
    <definedName name="DATEDELIVERY">Sheet1!$C$17</definedName>
    <definedName name="DATEREQ">Sheet1!$C$16</definedName>
    <definedName name="DECRIPTION2">Sheet1!$B$22</definedName>
    <definedName name="DESCRIPTION1">Sheet1!$B$21</definedName>
    <definedName name="DESCRIPTION2">Sheet1!$B$22</definedName>
    <definedName name="DESCRIPTION3">Sheet1!$B$23</definedName>
    <definedName name="DESCRIPTION4">Sheet1!$B$24</definedName>
    <definedName name="DESCRIPTION5">Sheet1!$B$25</definedName>
    <definedName name="DESCRIPTION6">Sheet1!$B$26</definedName>
    <definedName name="DESCRIPTION7">Sheet1!$B$27</definedName>
    <definedName name="FAX">Sheet1!$C$13</definedName>
    <definedName name="MATERIAL1">Sheet1!$M$21</definedName>
    <definedName name="MATERIAL2">Sheet1!$M$22</definedName>
    <definedName name="MATERIAL3">Sheet1!$M$23</definedName>
    <definedName name="MATERIAL4">Sheet1!$M$24</definedName>
    <definedName name="MATERIAL5">Sheet1!$M$25</definedName>
    <definedName name="MATERIAL6">Sheet1!$M$26</definedName>
    <definedName name="MATERIAL7">Sheet1!$M$27</definedName>
    <definedName name="ORDER_BY">Sheet1!$G$9</definedName>
    <definedName name="PONUM">Sheet1!$C$9</definedName>
    <definedName name="_xlnm.Print_Area" localSheetId="0">Sheet1!$A$4:$J$88</definedName>
    <definedName name="PROJECT">Sheet1!$G$11</definedName>
    <definedName name="PROJECTNUMBER">Sheet1!$G$12</definedName>
    <definedName name="PURCHASING">Sheet1!$F$35</definedName>
    <definedName name="QUANT1">Sheet1!$F$21</definedName>
    <definedName name="QUANT2">Sheet1!$F$22</definedName>
    <definedName name="QUANT3">Sheet1!$F$23</definedName>
    <definedName name="QUANT4">Sheet1!$F$24</definedName>
    <definedName name="QUANT5">Sheet1!$F$25</definedName>
    <definedName name="QUANT6">Sheet1!$F$26</definedName>
    <definedName name="QUANT7">Sheet1!$F$27</definedName>
    <definedName name="SHIPTO">Sheet1!$G$14</definedName>
    <definedName name="SHIPTOADD1">Sheet1!$G$15</definedName>
    <definedName name="SHIPTOADD2">Sheet1!$G$16</definedName>
    <definedName name="SHIPVIA">Sheet1!$G$17</definedName>
    <definedName name="STCOK2">Sheet1!$L$22</definedName>
    <definedName name="STOCK1">Sheet1!$L$21</definedName>
    <definedName name="STOCK3">Sheet1!$L$23</definedName>
    <definedName name="STOCK4">Sheet1!$L$24</definedName>
    <definedName name="STOCK5">Sheet1!$L$25</definedName>
    <definedName name="STOCK6">Sheet1!$L$26</definedName>
    <definedName name="STOCK7">Sheet1!$L$27</definedName>
    <definedName name="TO">Sheet1!$C$11</definedName>
    <definedName name="TOTAL1">Sheet1!$H$21</definedName>
    <definedName name="TOTAL2">Sheet1!$H$22</definedName>
    <definedName name="TOTAL3">Sheet1!$H$23</definedName>
    <definedName name="TOTAL4">Sheet1!$H$24</definedName>
    <definedName name="TOTAL5">Sheet1!$H$25</definedName>
    <definedName name="TOTAL6">Sheet1!$H$26</definedName>
    <definedName name="TOTAL7">Sheet1!$H$27</definedName>
    <definedName name="UNIT1">Sheet1!$G$21</definedName>
    <definedName name="UNIT2">Sheet1!$G$22</definedName>
    <definedName name="UNIT3">Sheet1!$G$23</definedName>
    <definedName name="UNIT4">Sheet1!$G$24</definedName>
    <definedName name="UNIT5">Sheet1!$G$25</definedName>
    <definedName name="UNIT6">Sheet1!$G$26</definedName>
    <definedName name="UNIT7">Sheet1!$G$27</definedName>
    <definedName name="VENDOR">Sheet1!$F$37</definedName>
  </definedNames>
  <calcPr calcId="145621"/>
</workbook>
</file>

<file path=xl/calcChain.xml><?xml version="1.0" encoding="utf-8"?>
<calcChain xmlns="http://schemas.openxmlformats.org/spreadsheetml/2006/main">
  <c r="H27" i="1" l="1"/>
  <c r="H26" i="1"/>
  <c r="H25" i="1"/>
  <c r="H24" i="1"/>
  <c r="H23" i="1"/>
  <c r="H22" i="1"/>
  <c r="H21" i="1"/>
  <c r="L11" i="1"/>
  <c r="H28" i="1" l="1"/>
</calcChain>
</file>

<file path=xl/connections.xml><?xml version="1.0" encoding="utf-8"?>
<connections xmlns="http://schemas.openxmlformats.org/spreadsheetml/2006/main">
  <connection id="1" sourceFile="C:\Users\brandan\Documents\NorthshorePO\Access\NssmInventory.mdb" keepAlive="1" name="NssmInventory" type="5" refreshedVersion="0" new="1" backgroun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s>
</file>

<file path=xl/sharedStrings.xml><?xml version="1.0" encoding="utf-8"?>
<sst xmlns="http://schemas.openxmlformats.org/spreadsheetml/2006/main" count="536" uniqueCount="335">
  <si>
    <t>To:</t>
  </si>
  <si>
    <t>Attn:</t>
  </si>
  <si>
    <t>Fax:</t>
  </si>
  <si>
    <t>Description</t>
  </si>
  <si>
    <t>Qty.</t>
  </si>
  <si>
    <t>Unit Price</t>
  </si>
  <si>
    <t>Total Amounts</t>
  </si>
  <si>
    <t>Purchase Order No.:</t>
  </si>
  <si>
    <t>Date:</t>
  </si>
  <si>
    <t>Ship To:</t>
  </si>
  <si>
    <t>Ship Via:</t>
  </si>
  <si>
    <t>Project:</t>
  </si>
  <si>
    <t>Date Required:</t>
  </si>
  <si>
    <t>Estimated Delivery:</t>
  </si>
  <si>
    <t>Total</t>
  </si>
  <si>
    <t>THE TERMS AND CONDITIONS ON THIS FORM AND ATTACHED HERETO SHALL CONSTITUTE THE FINAL AND COMPLETE AGREEMENT BETWEEN PURCHASER AND SELLER.</t>
  </si>
  <si>
    <t>Not valid unless signed by Purchasing Agent</t>
  </si>
  <si>
    <t>NORTHSHORE SHEET METAL, INC.</t>
  </si>
  <si>
    <t>By</t>
  </si>
  <si>
    <t>Accepted By</t>
  </si>
  <si>
    <t>Purchasing Agent</t>
  </si>
  <si>
    <t>Vendor Approved</t>
  </si>
  <si>
    <t>Northshore Sheet Metal, Inc.
Purchase Order Terms and Conditions</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</si>
  <si>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</si>
  <si>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16 oz</t>
  </si>
  <si>
    <t>Copper</t>
  </si>
  <si>
    <t>48x120</t>
  </si>
  <si>
    <t>Copper Sheet</t>
  </si>
  <si>
    <t>8 mm</t>
  </si>
  <si>
    <t>Flat</t>
  </si>
  <si>
    <t>forest green</t>
  </si>
  <si>
    <t>22'</t>
  </si>
  <si>
    <t>design span</t>
  </si>
  <si>
    <t>22 GA</t>
  </si>
  <si>
    <t>#4 Finish</t>
  </si>
  <si>
    <t>48" x 120"</t>
  </si>
  <si>
    <t>Stainless Flats</t>
  </si>
  <si>
    <t>Gray</t>
  </si>
  <si>
    <t>48" x 96"</t>
  </si>
  <si>
    <t>Hardi Bd</t>
  </si>
  <si>
    <t>mill alum</t>
  </si>
  <si>
    <t>1/2"</t>
  </si>
  <si>
    <t>aluminum angle</t>
  </si>
  <si>
    <t>Xtra Dark Bronze</t>
  </si>
  <si>
    <t>flat sheet</t>
  </si>
  <si>
    <t>ss</t>
  </si>
  <si>
    <t>custom</t>
  </si>
  <si>
    <t>cold rolled</t>
  </si>
  <si>
    <t>various</t>
  </si>
  <si>
    <t>24 GA</t>
  </si>
  <si>
    <t>Cool Old Town Gray</t>
  </si>
  <si>
    <t>Prefinished Flats</t>
  </si>
  <si>
    <t>Cool Parchment</t>
  </si>
  <si>
    <t>20 GA</t>
  </si>
  <si>
    <t>Bare Galvanized</t>
  </si>
  <si>
    <t>Galvanized Flats</t>
  </si>
  <si>
    <t>Cool Metallic Silver</t>
  </si>
  <si>
    <t>Cool Weathered Copper</t>
  </si>
  <si>
    <t>11 GA</t>
  </si>
  <si>
    <t>w copper</t>
  </si>
  <si>
    <t>spanlock</t>
  </si>
  <si>
    <t>Cool Dark Bronze</t>
  </si>
  <si>
    <t>mill</t>
  </si>
  <si>
    <t>5x and 6x alum</t>
  </si>
  <si>
    <t>.125</t>
  </si>
  <si>
    <t>zink, dark and light</t>
  </si>
  <si>
    <t>varies</t>
  </si>
  <si>
    <t>panels plus flats</t>
  </si>
  <si>
    <t>Cool Matte Black</t>
  </si>
  <si>
    <t>0.125"</t>
  </si>
  <si>
    <t>Mill Finish</t>
  </si>
  <si>
    <t>Aluminum Flats</t>
  </si>
  <si>
    <t>black</t>
  </si>
  <si>
    <t>Jeep Wheels</t>
  </si>
  <si>
    <t>.063"</t>
  </si>
  <si>
    <t>Matte Black</t>
  </si>
  <si>
    <t>2b Finish</t>
  </si>
  <si>
    <t>16 GA</t>
  </si>
  <si>
    <t>48" x 144"</t>
  </si>
  <si>
    <t>Galvalume</t>
  </si>
  <si>
    <t>Galvalume Flats</t>
  </si>
  <si>
    <t>.050"</t>
  </si>
  <si>
    <t>16ga</t>
  </si>
  <si>
    <t>4B Finish</t>
  </si>
  <si>
    <t>SS Flat Sheet</t>
  </si>
  <si>
    <t>Cool Terra Cotta</t>
  </si>
  <si>
    <t>46" x 120"</t>
  </si>
  <si>
    <t>5/8"</t>
  </si>
  <si>
    <t>24ga</t>
  </si>
  <si>
    <t>Weathered Galvalume</t>
  </si>
  <si>
    <t>flats</t>
  </si>
  <si>
    <t>Clear Anodized</t>
  </si>
  <si>
    <t>4by 10 4 by 12</t>
  </si>
  <si>
    <t>aluminum</t>
  </si>
  <si>
    <t>ano clear</t>
  </si>
  <si>
    <t>aluminum flats</t>
  </si>
  <si>
    <t>Dark Bronze</t>
  </si>
  <si>
    <t>TDR-6</t>
  </si>
  <si>
    <t>Cool Metallic Champagne</t>
  </si>
  <si>
    <t>blue gray</t>
  </si>
  <si>
    <t>3 and 4</t>
  </si>
  <si>
    <t>downspout</t>
  </si>
  <si>
    <t>parchment</t>
  </si>
  <si>
    <t>15' misc</t>
  </si>
  <si>
    <t>mini v beam</t>
  </si>
  <si>
    <t>12 GA</t>
  </si>
  <si>
    <t>airbloc 31</t>
  </si>
  <si>
    <t>5s</t>
  </si>
  <si>
    <t>goo air barrier</t>
  </si>
  <si>
    <t>elbows: brown</t>
  </si>
  <si>
    <t>downspout elboows</t>
  </si>
  <si>
    <t>36" x 120"</t>
  </si>
  <si>
    <t>corten</t>
  </si>
  <si>
    <t>4 and 5X8</t>
  </si>
  <si>
    <t>off white primer</t>
  </si>
  <si>
    <t>Various</t>
  </si>
  <si>
    <t>X-12</t>
  </si>
  <si>
    <t>Pre-primed</t>
  </si>
  <si>
    <t>Preprimed Flats</t>
  </si>
  <si>
    <t xml:space="preserve">blue </t>
  </si>
  <si>
    <t>2.5"</t>
  </si>
  <si>
    <t>blueboard</t>
  </si>
  <si>
    <t>18 ga</t>
  </si>
  <si>
    <t>Regal White</t>
  </si>
  <si>
    <t>6.75"x120" and  6.75"x156"</t>
  </si>
  <si>
    <t>18 ga White 6.75" Strips</t>
  </si>
  <si>
    <t>2b Finish SS</t>
  </si>
  <si>
    <t>weatherd copper</t>
  </si>
  <si>
    <t>21'</t>
  </si>
  <si>
    <t>bronze anodized</t>
  </si>
  <si>
    <t>4x10</t>
  </si>
  <si>
    <t>alum flats</t>
  </si>
  <si>
    <t>4' x 8'</t>
  </si>
  <si>
    <t>alu</t>
  </si>
  <si>
    <t>4x10, 5x10,6x10</t>
  </si>
  <si>
    <t>Cool Regal White</t>
  </si>
  <si>
    <t>12 ga</t>
  </si>
  <si>
    <t>2b</t>
  </si>
  <si>
    <t>.032"</t>
  </si>
  <si>
    <t xml:space="preserve"> Cool Dark Bronze</t>
  </si>
  <si>
    <t>Slate Gray</t>
  </si>
  <si>
    <t>4mm</t>
  </si>
  <si>
    <t>FR Mica MNC Sheet</t>
  </si>
  <si>
    <t>50" x 196"</t>
  </si>
  <si>
    <t>4mm ACM</t>
  </si>
  <si>
    <t>Mica MNC .032 Aluminum</t>
  </si>
  <si>
    <t>48' x 120"</t>
  </si>
  <si>
    <t>.032 Aluminum</t>
  </si>
  <si>
    <t>galv</t>
  </si>
  <si>
    <t>4 by 12</t>
  </si>
  <si>
    <t>48 120</t>
  </si>
  <si>
    <t>Bare</t>
  </si>
  <si>
    <t>Perforated Flats 1/16" RD Perf 1/8" Stagger</t>
  </si>
  <si>
    <t>zactique</t>
  </si>
  <si>
    <t>46 by 120</t>
  </si>
  <si>
    <t>Cool Forest Green</t>
  </si>
  <si>
    <t>.040</t>
  </si>
  <si>
    <t>dk bronze</t>
  </si>
  <si>
    <t>4 by 10</t>
  </si>
  <si>
    <t>22</t>
  </si>
  <si>
    <t>24</t>
  </si>
  <si>
    <t>Sierra Tan</t>
  </si>
  <si>
    <t>48 by 120</t>
  </si>
  <si>
    <t>Dove Gray</t>
  </si>
  <si>
    <t>Cool Red</t>
  </si>
  <si>
    <t>26 GA</t>
  </si>
  <si>
    <t>.063</t>
  </si>
  <si>
    <t>dark bronze ano</t>
  </si>
  <si>
    <t xml:space="preserve">NuWave  </t>
  </si>
  <si>
    <t>Cool Zactique II</t>
  </si>
  <si>
    <t>2b SS</t>
  </si>
  <si>
    <t>316 SS Flats</t>
  </si>
  <si>
    <t>Weathered Zinc</t>
  </si>
  <si>
    <t>0.8 mm</t>
  </si>
  <si>
    <t>Onyx Black</t>
  </si>
  <si>
    <t>27.5" x 120"</t>
  </si>
  <si>
    <t>Zinc Flats</t>
  </si>
  <si>
    <t>bone white</t>
  </si>
  <si>
    <t>coil</t>
  </si>
  <si>
    <t>champagne</t>
  </si>
  <si>
    <t>12'</t>
  </si>
  <si>
    <t>hr36</t>
  </si>
  <si>
    <t>.080</t>
  </si>
  <si>
    <t>Cool Zinc Grey</t>
  </si>
  <si>
    <t>20</t>
  </si>
  <si>
    <t>galvanized</t>
  </si>
  <si>
    <t>Galvanized Flats Domestic</t>
  </si>
  <si>
    <t>Metallic Silver</t>
  </si>
  <si>
    <t>16" x 13'-6"</t>
  </si>
  <si>
    <t>Klip Rib</t>
  </si>
  <si>
    <t>.8 mm</t>
  </si>
  <si>
    <t>24" x 24"</t>
  </si>
  <si>
    <t>Mocha Tan</t>
  </si>
  <si>
    <t>22 ga</t>
  </si>
  <si>
    <t>Silver Gray / White Wing</t>
  </si>
  <si>
    <t>Prefinished Flasts</t>
  </si>
  <si>
    <t>midnight bronze</t>
  </si>
  <si>
    <t>prefinished flats</t>
  </si>
  <si>
    <t>11</t>
  </si>
  <si>
    <t>Weath Steel</t>
  </si>
  <si>
    <t>48" x 96", 120"</t>
  </si>
  <si>
    <t>Primed</t>
  </si>
  <si>
    <t>HardiePanel HZ10</t>
  </si>
  <si>
    <t>Cool Metallic Copper</t>
  </si>
  <si>
    <t>5'6"</t>
  </si>
  <si>
    <t>Design Span hp17</t>
  </si>
  <si>
    <t>Zinc Gray</t>
  </si>
  <si>
    <t>Y-36 Panels</t>
  </si>
  <si>
    <t xml:space="preserve">1/4" </t>
  </si>
  <si>
    <t xml:space="preserve">Aluminum </t>
  </si>
  <si>
    <t>Aluminum Plate</t>
  </si>
  <si>
    <t>Cosmic Gray</t>
  </si>
  <si>
    <t>Flats</t>
  </si>
  <si>
    <t>Cool Colonial Red</t>
  </si>
  <si>
    <t>pipe,elbows, nipples</t>
  </si>
  <si>
    <t>PrePatina Graphite Gray</t>
  </si>
  <si>
    <t>27.6" x 120"</t>
  </si>
  <si>
    <t>18</t>
  </si>
  <si>
    <t>Galvaneeled</t>
  </si>
  <si>
    <t>48x120'</t>
  </si>
  <si>
    <t>Galvaneeled Sheet</t>
  </si>
  <si>
    <t>.25</t>
  </si>
  <si>
    <t>stainless</t>
  </si>
  <si>
    <t>20'</t>
  </si>
  <si>
    <t>2 by 2, 2 by3 pipe</t>
  </si>
  <si>
    <t>terra cotta</t>
  </si>
  <si>
    <t>4by10</t>
  </si>
  <si>
    <t>8mm</t>
  </si>
  <si>
    <t>Rustic</t>
  </si>
  <si>
    <t>Sheets</t>
  </si>
  <si>
    <t xml:space="preserve">Zinc  </t>
  </si>
  <si>
    <t>Weatherd Zinc</t>
  </si>
  <si>
    <t>colonial red</t>
  </si>
  <si>
    <t>Cool Tahoe Blue</t>
  </si>
  <si>
    <t>Zinc</t>
  </si>
  <si>
    <t>36" x 72"</t>
  </si>
  <si>
    <t>7.2 Rib Panel</t>
  </si>
  <si>
    <t>bronze</t>
  </si>
  <si>
    <t>2 by 10</t>
  </si>
  <si>
    <t>silicon bronze</t>
  </si>
  <si>
    <t>Cool Regal Blue</t>
  </si>
  <si>
    <t>Silversmith</t>
  </si>
  <si>
    <t>44" x 120"</t>
  </si>
  <si>
    <t>Bright silver</t>
  </si>
  <si>
    <t>36-3/8" x 120"</t>
  </si>
  <si>
    <t>Almond</t>
  </si>
  <si>
    <t>48 x 120</t>
  </si>
  <si>
    <t>Weath. Copper</t>
  </si>
  <si>
    <t>Corrugated Panel</t>
  </si>
  <si>
    <t>Gutter Coil</t>
  </si>
  <si>
    <t>orange</t>
  </si>
  <si>
    <t>800 s/f</t>
  </si>
  <si>
    <t>wrapshield</t>
  </si>
  <si>
    <t>Champagne Pearl</t>
  </si>
  <si>
    <t>62 x 196</t>
  </si>
  <si>
    <t>ACM</t>
  </si>
  <si>
    <t>Br. Copper Metallic</t>
  </si>
  <si>
    <t>slate and charcoal</t>
  </si>
  <si>
    <t>coils and flats</t>
  </si>
  <si>
    <t>.050</t>
  </si>
  <si>
    <t>charcoal gray</t>
  </si>
  <si>
    <t>16" x 100 ft</t>
  </si>
  <si>
    <t>Weath Copper</t>
  </si>
  <si>
    <t>PEX Pewter</t>
  </si>
  <si>
    <t>62x196</t>
  </si>
  <si>
    <t>ACM Sheet</t>
  </si>
  <si>
    <t>Tahoe Blue</t>
  </si>
  <si>
    <t>regal blue</t>
  </si>
  <si>
    <t>coil plus sheets</t>
  </si>
  <si>
    <t>Weathered Copper</t>
  </si>
  <si>
    <t>1"</t>
  </si>
  <si>
    <t>iron</t>
  </si>
  <si>
    <t>prefin flat</t>
  </si>
  <si>
    <t>Old Town Gray</t>
  </si>
  <si>
    <t>Chocolate</t>
  </si>
  <si>
    <t>30" x 120"</t>
  </si>
  <si>
    <t>Prefinished Sheet</t>
  </si>
  <si>
    <t>Match AEP Champagne</t>
  </si>
  <si>
    <t>36.25" x 120"</t>
  </si>
  <si>
    <t>3mm</t>
  </si>
  <si>
    <t>any</t>
  </si>
  <si>
    <t>reynobond no core</t>
  </si>
  <si>
    <t>040</t>
  </si>
  <si>
    <t>Classic Copper</t>
  </si>
  <si>
    <t xml:space="preserve">Charcoal  </t>
  </si>
  <si>
    <t>White, Blue &amp; Green</t>
  </si>
  <si>
    <t>Beige 205</t>
  </si>
  <si>
    <t>Various 30 mm</t>
  </si>
  <si>
    <t>Terracotta Tiles</t>
  </si>
  <si>
    <t>TBX Silver</t>
  </si>
  <si>
    <t>62" x 196"</t>
  </si>
  <si>
    <t>slate/charcoal/sky blu</t>
  </si>
  <si>
    <t>Natural</t>
  </si>
  <si>
    <t>1/2" &amp; 3/4"</t>
  </si>
  <si>
    <t>Fiber Rein Cement</t>
  </si>
  <si>
    <t>Stainless Steel</t>
  </si>
  <si>
    <t>F-12 Panels</t>
  </si>
  <si>
    <t>CustomMatch sample</t>
  </si>
  <si>
    <t>Manhattan Beige</t>
  </si>
  <si>
    <t>24 x 120</t>
  </si>
  <si>
    <t>Light Sequin</t>
  </si>
  <si>
    <t>Cor-Ten</t>
  </si>
  <si>
    <t>Cor-Ten Flats</t>
  </si>
  <si>
    <t>Zincalume</t>
  </si>
  <si>
    <t>36" wide x various</t>
  </si>
  <si>
    <t>Graphite</t>
  </si>
  <si>
    <t>48 x 108</t>
  </si>
  <si>
    <t>Silver</t>
  </si>
  <si>
    <t>Bright Copper</t>
  </si>
  <si>
    <t>3"</t>
  </si>
  <si>
    <t>032</t>
  </si>
  <si>
    <t>Stone White</t>
  </si>
  <si>
    <t>Platinum Mica</t>
  </si>
  <si>
    <t>Louvers</t>
  </si>
  <si>
    <t>Gray Xpressive</t>
  </si>
  <si>
    <t>49 x 121</t>
  </si>
  <si>
    <t xml:space="preserve">White </t>
  </si>
  <si>
    <t xml:space="preserve">3" x Various </t>
  </si>
  <si>
    <t>Insulated Metal Pane</t>
  </si>
  <si>
    <t>Sunlight Silver</t>
  </si>
  <si>
    <t>Flat Sheet</t>
  </si>
  <si>
    <t>1/2 &amp; 3/4"</t>
  </si>
  <si>
    <t>FT Plwood</t>
  </si>
  <si>
    <t>Plywood</t>
  </si>
  <si>
    <t>Classic Cream</t>
  </si>
  <si>
    <t>GAUGE</t>
  </si>
  <si>
    <t>MATERIAL</t>
  </si>
  <si>
    <t>SIZE</t>
  </si>
  <si>
    <t>MANUFACTURE</t>
  </si>
  <si>
    <t>GAUGE TYP</t>
  </si>
  <si>
    <t>COLOR</t>
  </si>
  <si>
    <t>Project No.:</t>
  </si>
  <si>
    <t>Orderer:</t>
  </si>
  <si>
    <t>Mat</t>
  </si>
  <si>
    <t>Stk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</si>
</sst>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409]d\-mmm\-yy;@"/>
  </numFmts>
  <fonts count="9"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0"/>
      <color indexed="8"/>
      <name val="Calibri"/>
      <family val="2"/>
    </font>
    <font>
      <sz val="11"/>
      <color theme="1"/>
      <name val="Calibri"/>
      <family val="2"/>
      <scheme val="minor"/>
    </font>
  </fonts>
  <fills count="7">
    <fill>
      <patternFill patternType="none"/>
    </fill>
    <fill>
      <patternFill patternType="gray125"/>
    </fill>
    <fill>
      <patternFill patternType="solid">
        <fgColor indexed="55"/>
        <bgColor indexed="64"/>
      </patternFill>
    </fill>
    <fill>
      <patternFill patternType="solid">
        <fgColor theme="0"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4" fontId="8" fillId="0" borderId="0" applyFont="0" applyFill="0" applyBorder="0" applyAlignment="0" applyProtection="0"/>
    <xf numFmtId="43" fontId="8" fillId="0" borderId="0" applyFont="0" applyFill="0" applyBorder="0" applyAlignment="0" applyProtection="0"/>
  </cellStyleXfs>
  <cellXfs count="55">
    <xf numFmtId="0" fontId="0" fillId="0" borderId="0" xfId="0"/>
    <xf numFmtId="49" fontId="0" fillId="0" borderId="4" xfId="0" applyNumberFormat="1" applyBorder="1" applyAlignment="1">
      <alignment horizontal="left" vertical="center" wrapText="1"/>
    </xf>
    <xf numFmtId="0" fontId="7" fillId="2" borderId="4" xfId="0" applyFont="1" applyFill="1" applyBorder="1" applyAlignment="1">
      <alignment horizontal="left" vertical="center"/>
    </xf>
    <xf numFmtId="49" fontId="7" fillId="2" borderId="4" xfId="0" applyNumberFormat="1" applyFont="1" applyFill="1" applyBorder="1" applyAlignment="1">
      <alignment horizontal="left" vertical="center" wrapText="1"/>
    </xf>
    <xf numFmtId="0" fontId="7" fillId="0" borderId="4" xfId="0" applyFont="1" applyFill="1" applyBorder="1" applyAlignment="1">
      <alignment horizontal="left" vertical="center"/>
    </xf>
    <xf numFmtId="49" fontId="7" fillId="0" borderId="4" xfId="0" applyNumberFormat="1" applyFont="1" applyFill="1" applyBorder="1" applyAlignment="1">
      <alignment horizontal="left" vertical="center" wrapText="1"/>
    </xf>
    <xf numFmtId="16" fontId="7" fillId="0" borderId="4" xfId="0" applyNumberFormat="1" applyFont="1" applyFill="1" applyBorder="1" applyAlignment="1">
      <alignment horizontal="left" vertical="center"/>
    </xf>
    <xf numFmtId="0" fontId="0" fillId="0" borderId="4" xfId="0" applyBorder="1" applyAlignment="1">
      <alignment horizontal="left" vertical="center" wrapText="1"/>
    </xf>
    <xf numFmtId="164" fontId="7" fillId="3" borderId="4" xfId="0" applyNumberFormat="1" applyFont="1" applyFill="1" applyBorder="1" applyAlignment="1">
      <alignment horizontal="left" vertical="center"/>
    </xf>
    <xf numFmtId="0" fontId="7" fillId="3" borderId="4" xfId="0" applyNumberFormat="1" applyFont="1" applyFill="1" applyBorder="1" applyAlignment="1">
      <alignment horizontal="left" vertical="center"/>
    </xf>
    <xf numFmtId="0" fontId="0" fillId="4" borderId="0" xfId="0" applyFill="1"/>
    <xf numFmtId="0" fontId="3" fillId="4" borderId="0" xfId="0" applyFont="1" applyFill="1" applyAlignment="1">
      <alignment vertical="top" wrapText="1"/>
    </xf>
    <xf numFmtId="0" fontId="4" fillId="4" borderId="0" xfId="0" applyFont="1" applyFill="1" applyAlignment="1">
      <alignment horizontal="justify" vertical="top"/>
    </xf>
    <xf numFmtId="0" fontId="0" fillId="4" borderId="0" xfId="0" applyFill="1" applyBorder="1" applyAlignment="1">
      <alignment wrapText="1"/>
    </xf>
    <xf numFmtId="0" fontId="0" fillId="4" borderId="0" xfId="0" applyFill="1" applyBorder="1"/>
    <xf numFmtId="0" fontId="0" fillId="4" borderId="0" xfId="0" applyFill="1" applyAlignment="1">
      <alignment horizontal="left"/>
    </xf>
    <xf numFmtId="0" fontId="0" fillId="4" borderId="0" xfId="0" applyFill="1" applyBorder="1" applyAlignment="1">
      <alignment horizontal="left"/>
    </xf>
    <xf numFmtId="14" fontId="0" fillId="4" borderId="0" xfId="0" applyNumberFormat="1" applyFill="1" applyBorder="1" applyAlignment="1">
      <alignment horizontal="left"/>
    </xf>
    <xf numFmtId="0" fontId="0" fillId="4" borderId="0" xfId="0" applyFill="1" applyBorder="1" applyAlignment="1">
      <alignment horizontal="center"/>
    </xf>
    <xf numFmtId="0" fontId="0" fillId="4" borderId="4" xfId="0" applyFill="1" applyBorder="1"/>
    <xf numFmtId="44" fontId="0" fillId="4" borderId="4" xfId="1" applyFont="1" applyFill="1" applyBorder="1"/>
    <xf numFmtId="0" fontId="0" fillId="4" borderId="0" xfId="0" applyFill="1" applyAlignment="1">
      <alignment horizontal="right"/>
    </xf>
    <xf numFmtId="0" fontId="0" fillId="4" borderId="0" xfId="0" applyFill="1" applyBorder="1" applyAlignment="1">
      <alignment horizontal="center" vertical="top"/>
    </xf>
    <xf numFmtId="0" fontId="1" fillId="6" borderId="4" xfId="0" applyFont="1" applyFill="1" applyBorder="1" applyAlignment="1">
      <alignment horizontal="center" wrapText="1"/>
    </xf>
    <xf numFmtId="0" fontId="0" fillId="5" borderId="0" xfId="0" applyFill="1" applyBorder="1"/>
    <xf numFmtId="0" fontId="0" fillId="5" borderId="0" xfId="0" applyFill="1" applyBorder="1" applyAlignment="1">
      <alignment wrapText="1"/>
    </xf>
    <xf numFmtId="0" fontId="0" fillId="5" borderId="4" xfId="0" applyFill="1" applyBorder="1"/>
    <xf numFmtId="44" fontId="0" fillId="5" borderId="4" xfId="1" applyFont="1" applyFill="1" applyBorder="1"/>
    <xf numFmtId="0" fontId="1" fillId="5" borderId="4" xfId="0" applyFont="1" applyFill="1" applyBorder="1" applyAlignment="1">
      <alignment wrapText="1"/>
    </xf>
    <xf numFmtId="44" fontId="1" fillId="5" borderId="4" xfId="0" applyNumberFormat="1" applyFont="1" applyFill="1" applyBorder="1"/>
    <xf numFmtId="0" fontId="0" fillId="5" borderId="2" xfId="0" applyFill="1" applyBorder="1" applyAlignment="1">
      <alignment horizontal="left"/>
    </xf>
    <xf numFmtId="43" fontId="4" fillId="4" borderId="0" xfId="2" applyFont="1" applyFill="1" applyAlignment="1">
      <alignment horizontal="justify" vertical="top"/>
    </xf>
    <xf numFmtId="0" fontId="0" fillId="4" borderId="5" xfId="0" applyFill="1" applyBorder="1" applyAlignment="1">
      <alignment horizontal="left" wrapText="1"/>
    </xf>
    <xf numFmtId="0" fontId="0" fillId="4" borderId="2" xfId="0" applyFill="1" applyBorder="1" applyAlignment="1">
      <alignment horizontal="left" wrapText="1"/>
    </xf>
    <xf numFmtId="0" fontId="0" fillId="4" borderId="6" xfId="0" applyFill="1" applyBorder="1" applyAlignment="1">
      <alignment horizontal="left" wrapText="1"/>
    </xf>
    <xf numFmtId="0" fontId="0" fillId="5" borderId="5" xfId="0" applyFill="1" applyBorder="1" applyAlignment="1">
      <alignment horizontal="center"/>
    </xf>
    <xf numFmtId="0" fontId="0" fillId="5" borderId="2" xfId="0" applyFill="1" applyBorder="1" applyAlignment="1">
      <alignment horizontal="center"/>
    </xf>
    <xf numFmtId="0" fontId="0" fillId="5" borderId="6" xfId="0" applyFill="1" applyBorder="1" applyAlignment="1">
      <alignment horizontal="center"/>
    </xf>
    <xf numFmtId="0" fontId="0" fillId="4" borderId="1" xfId="0" applyFill="1" applyBorder="1" applyAlignment="1">
      <alignment horizontal="center"/>
    </xf>
    <xf numFmtId="0" fontId="2" fillId="4" borderId="3" xfId="0" applyFont="1" applyFill="1" applyBorder="1" applyAlignment="1">
      <alignment horizontal="center" vertical="top"/>
    </xf>
    <xf numFmtId="0" fontId="0" fillId="5" borderId="5" xfId="0" applyFill="1" applyBorder="1" applyAlignment="1">
      <alignment horizontal="left" wrapText="1"/>
    </xf>
    <xf numFmtId="0" fontId="0" fillId="5" borderId="2" xfId="0" applyFill="1" applyBorder="1" applyAlignment="1">
      <alignment horizontal="left" wrapText="1"/>
    </xf>
    <xf numFmtId="0" fontId="0" fillId="5" borderId="6" xfId="0" applyFill="1" applyBorder="1" applyAlignment="1">
      <alignment horizontal="left" wrapText="1"/>
    </xf>
    <xf numFmtId="0" fontId="1" fillId="4" borderId="0" xfId="0" applyFont="1" applyFill="1" applyAlignment="1">
      <alignment horizontal="center" vertical="top" wrapText="1"/>
    </xf>
    <xf numFmtId="0" fontId="5" fillId="4" borderId="0" xfId="0" applyFont="1" applyFill="1" applyAlignment="1">
      <alignment horizontal="justify" vertical="top" wrapText="1"/>
    </xf>
    <xf numFmtId="0" fontId="6" fillId="4" borderId="0" xfId="0" applyFont="1" applyFill="1" applyAlignment="1">
      <alignment horizontal="center" wrapText="1"/>
    </xf>
    <xf numFmtId="0" fontId="1" fillId="4" borderId="0" xfId="0" applyFont="1" applyFill="1" applyAlignment="1">
      <alignment horizontal="center" wrapText="1"/>
    </xf>
    <xf numFmtId="0" fontId="1" fillId="6" borderId="5" xfId="0" applyFont="1" applyFill="1" applyBorder="1" applyAlignment="1">
      <alignment horizontal="center" wrapText="1"/>
    </xf>
    <xf numFmtId="0" fontId="1" fillId="6" borderId="2" xfId="0" applyFont="1" applyFill="1" applyBorder="1" applyAlignment="1">
      <alignment horizontal="center" wrapText="1"/>
    </xf>
    <xf numFmtId="0" fontId="1" fillId="6" borderId="6" xfId="0" applyFont="1" applyFill="1" applyBorder="1" applyAlignment="1">
      <alignment horizontal="center" wrapText="1"/>
    </xf>
    <xf numFmtId="14" fontId="0" fillId="5" borderId="2" xfId="0" applyNumberFormat="1" applyFill="1" applyBorder="1" applyAlignment="1">
      <alignment horizontal="left"/>
    </xf>
    <xf numFmtId="0" fontId="0" fillId="5" borderId="1" xfId="0" applyFill="1" applyBorder="1" applyAlignment="1">
      <alignment horizontal="left"/>
    </xf>
    <xf numFmtId="0" fontId="1" fillId="5" borderId="1" xfId="0" applyFont="1" applyFill="1" applyBorder="1" applyAlignment="1">
      <alignment horizontal="left"/>
    </xf>
    <xf numFmtId="0" fontId="0" fillId="5" borderId="2" xfId="0" applyFill="1" applyBorder="1" applyAlignment="1">
      <alignment horizontal="left"/>
    </xf>
    <xf numFmtId="14" fontId="0" fillId="5" borderId="1" xfId="0" applyNumberFormat="1" applyFill="1" applyBorder="1" applyAlignment="1">
      <alignment horizontal="left"/>
    </xf>
  </cellXfs>
  <cellStyles count="3">
    <cellStyle name="Comma" xfId="2" builtinId="3"/>
    <cellStyle name="Currency" xfId="1" builtinId="4"/>
    <cellStyle name="Normal" xfId="0" builtinId="0"/>
  </cellStyles>
  <dxfs count="4">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3.emf"/><Relationship Id="rId7" Type="http://schemas.openxmlformats.org/officeDocument/2006/relationships/image" Target="../media/image9.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xdr:row>
      <xdr:rowOff>95250</xdr:rowOff>
    </xdr:from>
    <xdr:to>
      <xdr:col>1</xdr:col>
      <xdr:colOff>990600</xdr:colOff>
      <xdr:row>7</xdr:row>
      <xdr:rowOff>64181</xdr:rowOff>
    </xdr:to>
    <xdr:pic>
      <xdr:nvPicPr>
        <xdr:cNvPr id="3" name="Picture 2"/>
        <xdr:cNvPicPr>
          <a:picLocks noChangeAspect="1"/>
        </xdr:cNvPicPr>
      </xdr:nvPicPr>
      <xdr:blipFill>
        <a:blip xmlns:r="http://schemas.openxmlformats.org/officeDocument/2006/relationships" r:embed="rId1"/>
        <a:stretch>
          <a:fillRect/>
        </a:stretch>
      </xdr:blipFill>
      <xdr:spPr>
        <a:xfrm>
          <a:off x="333375" y="447675"/>
          <a:ext cx="981075" cy="86428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161925</xdr:colOff>
          <xdr:row>0</xdr:row>
          <xdr:rowOff>152400</xdr:rowOff>
        </xdr:from>
        <xdr:to>
          <xdr:col>14</xdr:col>
          <xdr:colOff>114300</xdr:colOff>
          <xdr:row>4</xdr:row>
          <xdr:rowOff>66675</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20</xdr:row>
          <xdr:rowOff>104775</xdr:rowOff>
        </xdr:from>
        <xdr:to>
          <xdr:col>15</xdr:col>
          <xdr:colOff>400050</xdr:colOff>
          <xdr:row>21</xdr:row>
          <xdr:rowOff>0</xdr:rowOff>
        </xdr:to>
        <xdr:sp macro="" textlink="">
          <xdr:nvSpPr>
            <xdr:cNvPr id="1027" name="SendMat2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266700</xdr:colOff>
          <xdr:row>0</xdr:row>
          <xdr:rowOff>142875</xdr:rowOff>
        </xdr:from>
        <xdr:to>
          <xdr:col>15</xdr:col>
          <xdr:colOff>228600</xdr:colOff>
          <xdr:row>4</xdr:row>
          <xdr:rowOff>57150</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21</xdr:row>
          <xdr:rowOff>104775</xdr:rowOff>
        </xdr:from>
        <xdr:to>
          <xdr:col>15</xdr:col>
          <xdr:colOff>400050</xdr:colOff>
          <xdr:row>22</xdr:row>
          <xdr:rowOff>0</xdr:rowOff>
        </xdr:to>
        <xdr:sp macro="" textlink="">
          <xdr:nvSpPr>
            <xdr:cNvPr id="1029" name="SendMat22"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22</xdr:row>
          <xdr:rowOff>104775</xdr:rowOff>
        </xdr:from>
        <xdr:to>
          <xdr:col>15</xdr:col>
          <xdr:colOff>400050</xdr:colOff>
          <xdr:row>23</xdr:row>
          <xdr:rowOff>0</xdr:rowOff>
        </xdr:to>
        <xdr:sp macro="" textlink="">
          <xdr:nvSpPr>
            <xdr:cNvPr id="1030" name="SendMat23"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23</xdr:row>
          <xdr:rowOff>104775</xdr:rowOff>
        </xdr:from>
        <xdr:to>
          <xdr:col>15</xdr:col>
          <xdr:colOff>400050</xdr:colOff>
          <xdr:row>24</xdr:row>
          <xdr:rowOff>0</xdr:rowOff>
        </xdr:to>
        <xdr:sp macro="" textlink="">
          <xdr:nvSpPr>
            <xdr:cNvPr id="1031" name="SendMat24"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24</xdr:row>
          <xdr:rowOff>104775</xdr:rowOff>
        </xdr:from>
        <xdr:to>
          <xdr:col>15</xdr:col>
          <xdr:colOff>400050</xdr:colOff>
          <xdr:row>25</xdr:row>
          <xdr:rowOff>0</xdr:rowOff>
        </xdr:to>
        <xdr:sp macro="" textlink="">
          <xdr:nvSpPr>
            <xdr:cNvPr id="1032" name="SendMat25"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25</xdr:row>
          <xdr:rowOff>104775</xdr:rowOff>
        </xdr:from>
        <xdr:to>
          <xdr:col>15</xdr:col>
          <xdr:colOff>400050</xdr:colOff>
          <xdr:row>26</xdr:row>
          <xdr:rowOff>0</xdr:rowOff>
        </xdr:to>
        <xdr:sp macro="" textlink="">
          <xdr:nvSpPr>
            <xdr:cNvPr id="1033" name="SendMat26"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26</xdr:row>
          <xdr:rowOff>104775</xdr:rowOff>
        </xdr:from>
        <xdr:to>
          <xdr:col>15</xdr:col>
          <xdr:colOff>400050</xdr:colOff>
          <xdr:row>27</xdr:row>
          <xdr:rowOff>0</xdr:rowOff>
        </xdr:to>
        <xdr:sp macro="" textlink="">
          <xdr:nvSpPr>
            <xdr:cNvPr id="1034" name="SendMat27"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4</xdr:row>
          <xdr:rowOff>142875</xdr:rowOff>
        </xdr:from>
        <xdr:to>
          <xdr:col>14</xdr:col>
          <xdr:colOff>123825</xdr:colOff>
          <xdr:row>7</xdr:row>
          <xdr:rowOff>161925</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438150</xdr:colOff>
          <xdr:row>10</xdr:row>
          <xdr:rowOff>57150</xdr:rowOff>
        </xdr:from>
        <xdr:to>
          <xdr:col>17</xdr:col>
          <xdr:colOff>123825</xdr:colOff>
          <xdr:row>14</xdr:row>
          <xdr:rowOff>161925</xdr:rowOff>
        </xdr:to>
        <xdr:sp macro="" textlink="">
          <xdr:nvSpPr>
            <xdr:cNvPr id="1036" name="CommandButton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88"/>
  <sheetViews>
    <sheetView tabSelected="1" zoomScaleNormal="100" workbookViewId="0">
      <selection activeCell="G9" sqref="G9:I9"/>
    </sheetView>
  </sheetViews>
  <sheetFormatPr defaultRowHeight="15" x14ac:dyDescent="0.25"/>
  <cols>
    <col min="1" max="1" width="4.85546875" style="10" customWidth="1"/>
    <col min="2" max="2" width="18.42578125" style="10" customWidth="1"/>
    <col min="3" max="3" width="19" style="10" customWidth="1"/>
    <col min="4" max="4" width="8.7109375" style="10" customWidth="1"/>
    <col min="5" max="5" width="2.5703125" style="10" customWidth="1"/>
    <col min="6" max="6" width="11" style="10" customWidth="1"/>
    <col min="7" max="7" width="13.140625" style="10" customWidth="1"/>
    <col min="8" max="8" width="13.7109375" style="10" customWidth="1"/>
    <col min="9" max="9" width="1.85546875" style="10" customWidth="1"/>
    <col min="10" max="10" width="2.28515625" style="10" customWidth="1"/>
    <col min="11" max="11" width="8.7109375" style="10" customWidth="1"/>
    <col min="12" max="12" width="6.140625" style="10" bestFit="1" customWidth="1"/>
    <col min="13" max="13" width="5.28515625" style="10" customWidth="1"/>
    <col min="14" max="16384" width="9.140625" style="10"/>
  </cols>
  <sheetData>
    <row r="1" spans="2:13" ht="15" customHeight="1" x14ac:dyDescent="0.25">
      <c r="J1" s="11"/>
      <c r="K1" s="11"/>
      <c r="L1" s="11"/>
      <c r="M1" s="11"/>
    </row>
    <row r="2" spans="2:13" ht="12.75" customHeight="1" x14ac:dyDescent="0.25">
      <c r="J2" s="11"/>
      <c r="K2" s="11"/>
      <c r="L2" s="11"/>
      <c r="M2" s="11"/>
    </row>
    <row r="3" spans="2:13" ht="12.75" customHeight="1" x14ac:dyDescent="0.25">
      <c r="J3" s="11"/>
      <c r="K3" s="11"/>
      <c r="L3" s="11"/>
      <c r="M3" s="11"/>
    </row>
    <row r="4" spans="2:13" ht="12.75" customHeight="1" x14ac:dyDescent="0.25">
      <c r="J4" s="11"/>
      <c r="K4" s="11"/>
      <c r="L4" s="11"/>
      <c r="M4" s="11"/>
    </row>
    <row r="5" spans="2:13" ht="15" customHeight="1" x14ac:dyDescent="0.25">
      <c r="J5" s="12"/>
      <c r="K5" s="12"/>
      <c r="L5" s="12"/>
      <c r="M5" s="12"/>
    </row>
    <row r="6" spans="2:13" ht="15" customHeight="1" x14ac:dyDescent="0.25">
      <c r="J6" s="12"/>
      <c r="K6" s="12"/>
      <c r="L6" s="12"/>
      <c r="M6" s="12"/>
    </row>
    <row r="7" spans="2:13" ht="15" customHeight="1" x14ac:dyDescent="0.25">
      <c r="J7" s="12"/>
      <c r="K7" s="12"/>
      <c r="L7" s="12"/>
      <c r="M7" s="12"/>
    </row>
    <row r="8" spans="2:13" ht="15" customHeight="1" x14ac:dyDescent="0.25">
      <c r="J8" s="12"/>
      <c r="K8" s="12"/>
      <c r="L8" s="12"/>
      <c r="M8" s="12"/>
    </row>
    <row r="9" spans="2:13" ht="14.25" customHeight="1" x14ac:dyDescent="0.25">
      <c r="B9" s="25" t="s">
        <v>7</v>
      </c>
      <c r="C9" s="52">
        <v>154151041</v>
      </c>
      <c r="D9" s="52"/>
      <c r="F9" s="24" t="s">
        <v>332</v>
      </c>
      <c r="G9" s="52"/>
      <c r="H9" s="52"/>
      <c r="I9" s="52"/>
      <c r="J9" s="12"/>
      <c r="K9" s="12"/>
      <c r="L9" s="12"/>
      <c r="M9" s="12"/>
    </row>
    <row r="10" spans="2:13" ht="14.25" customHeight="1" x14ac:dyDescent="0.25">
      <c r="B10" s="14"/>
      <c r="C10" s="15"/>
      <c r="D10" s="15"/>
      <c r="J10" s="12"/>
      <c r="K10" s="12"/>
      <c r="L10" s="12"/>
      <c r="M10" s="12"/>
    </row>
    <row r="11" spans="2:13" ht="14.25" customHeight="1" x14ac:dyDescent="0.25">
      <c r="B11" s="24" t="s">
        <v>0</v>
      </c>
      <c r="C11" s="51"/>
      <c r="D11" s="51"/>
      <c r="F11" s="24" t="s">
        <v>11</v>
      </c>
      <c r="G11" s="51"/>
      <c r="H11" s="51"/>
      <c r="I11" s="51"/>
      <c r="J11" s="12"/>
      <c r="K11" s="12"/>
      <c r="L11" s="12">
        <f ca="1">YEAR(NOW())</f>
        <v>2015</v>
      </c>
      <c r="M11" s="12"/>
    </row>
    <row r="12" spans="2:13" ht="14.25" customHeight="1" x14ac:dyDescent="0.25">
      <c r="B12" s="24" t="s">
        <v>1</v>
      </c>
      <c r="C12" s="53"/>
      <c r="D12" s="53"/>
      <c r="F12" s="24" t="s">
        <v>331</v>
      </c>
      <c r="G12" s="51"/>
      <c r="H12" s="51"/>
      <c r="I12" s="51"/>
      <c r="J12" s="12"/>
      <c r="K12" s="12"/>
      <c r="L12" s="31"/>
      <c r="M12" s="12"/>
    </row>
    <row r="13" spans="2:13" ht="14.25" customHeight="1" x14ac:dyDescent="0.25">
      <c r="B13" s="24" t="s">
        <v>2</v>
      </c>
      <c r="C13" s="53"/>
      <c r="D13" s="53"/>
      <c r="J13" s="12"/>
      <c r="K13" s="12"/>
      <c r="L13" s="12"/>
      <c r="M13" s="12"/>
    </row>
    <row r="14" spans="2:13" ht="14.25" customHeight="1" x14ac:dyDescent="0.25">
      <c r="B14" s="14"/>
      <c r="C14" s="16"/>
      <c r="D14" s="16"/>
      <c r="F14" s="24" t="s">
        <v>9</v>
      </c>
      <c r="G14" s="51"/>
      <c r="H14" s="51"/>
      <c r="I14" s="51"/>
      <c r="J14" s="12"/>
      <c r="K14" s="12"/>
      <c r="L14" s="12"/>
      <c r="M14" s="12"/>
    </row>
    <row r="15" spans="2:13" ht="14.25" customHeight="1" x14ac:dyDescent="0.25">
      <c r="B15" s="24" t="s">
        <v>8</v>
      </c>
      <c r="C15" s="54"/>
      <c r="D15" s="54"/>
      <c r="F15" s="24"/>
      <c r="G15" s="30"/>
      <c r="H15" s="30"/>
      <c r="I15" s="30"/>
      <c r="J15" s="12"/>
      <c r="K15" s="12"/>
      <c r="L15" s="12"/>
      <c r="M15" s="12"/>
    </row>
    <row r="16" spans="2:13" ht="14.25" customHeight="1" x14ac:dyDescent="0.25">
      <c r="B16" s="24" t="s">
        <v>12</v>
      </c>
      <c r="C16" s="50"/>
      <c r="D16" s="50"/>
      <c r="F16" s="24"/>
      <c r="G16" s="30"/>
      <c r="H16" s="30"/>
      <c r="I16" s="30"/>
      <c r="J16" s="12"/>
      <c r="K16" s="12"/>
      <c r="L16" s="12"/>
      <c r="M16" s="12"/>
    </row>
    <row r="17" spans="2:13" ht="14.25" customHeight="1" x14ac:dyDescent="0.25">
      <c r="B17" s="25" t="s">
        <v>13</v>
      </c>
      <c r="C17" s="50"/>
      <c r="D17" s="50"/>
      <c r="F17" s="24" t="s">
        <v>10</v>
      </c>
      <c r="G17" s="51"/>
      <c r="H17" s="51"/>
      <c r="I17" s="51"/>
      <c r="J17" s="12"/>
      <c r="K17" s="12"/>
      <c r="L17" s="12"/>
      <c r="M17" s="12"/>
    </row>
    <row r="18" spans="2:13" ht="14.25" customHeight="1" x14ac:dyDescent="0.25">
      <c r="B18" s="13"/>
      <c r="C18" s="17"/>
      <c r="D18" s="17"/>
      <c r="F18" s="14"/>
      <c r="G18" s="18"/>
      <c r="H18" s="18"/>
      <c r="I18" s="18"/>
      <c r="J18" s="12"/>
      <c r="K18" s="12"/>
      <c r="L18" s="12"/>
      <c r="M18" s="12"/>
    </row>
    <row r="19" spans="2:13" x14ac:dyDescent="0.25">
      <c r="J19" s="12"/>
      <c r="K19" s="12"/>
      <c r="L19" s="12"/>
      <c r="M19" s="12"/>
    </row>
    <row r="20" spans="2:13" ht="21.6" customHeight="1" x14ac:dyDescent="0.25">
      <c r="B20" s="47" t="s">
        <v>3</v>
      </c>
      <c r="C20" s="48"/>
      <c r="D20" s="48"/>
      <c r="E20" s="49"/>
      <c r="F20" s="23" t="s">
        <v>4</v>
      </c>
      <c r="G20" s="23" t="s">
        <v>5</v>
      </c>
      <c r="H20" s="23" t="s">
        <v>6</v>
      </c>
      <c r="J20" s="12"/>
      <c r="K20" s="12"/>
      <c r="L20" s="23" t="s">
        <v>334</v>
      </c>
      <c r="M20" s="23" t="s">
        <v>333</v>
      </c>
    </row>
    <row r="21" spans="2:13" ht="28.7" customHeight="1" x14ac:dyDescent="0.25">
      <c r="B21" s="32"/>
      <c r="C21" s="33"/>
      <c r="D21" s="33"/>
      <c r="E21" s="34"/>
      <c r="F21" s="19"/>
      <c r="G21" s="20"/>
      <c r="H21" s="20">
        <f>QUANT1*UNIT1</f>
        <v>0</v>
      </c>
      <c r="J21" s="12"/>
      <c r="K21" s="12"/>
      <c r="L21" s="20"/>
      <c r="M21" s="20"/>
    </row>
    <row r="22" spans="2:13" ht="28.7" customHeight="1" x14ac:dyDescent="0.25">
      <c r="B22" s="40"/>
      <c r="C22" s="41"/>
      <c r="D22" s="41"/>
      <c r="E22" s="42"/>
      <c r="F22" s="26"/>
      <c r="G22" s="27"/>
      <c r="H22" s="27">
        <f>QUANT2*UNIT2</f>
        <v>0</v>
      </c>
      <c r="J22" s="12"/>
      <c r="K22" s="12"/>
      <c r="L22" s="27"/>
      <c r="M22" s="27"/>
    </row>
    <row r="23" spans="2:13" ht="28.7" customHeight="1" x14ac:dyDescent="0.25">
      <c r="B23" s="32"/>
      <c r="C23" s="33"/>
      <c r="D23" s="33"/>
      <c r="E23" s="34"/>
      <c r="F23" s="19"/>
      <c r="G23" s="20"/>
      <c r="H23" s="20">
        <f>QUANT3*UNIT3</f>
        <v>0</v>
      </c>
      <c r="J23" s="12"/>
      <c r="K23" s="12"/>
      <c r="L23" s="20"/>
      <c r="M23" s="20"/>
    </row>
    <row r="24" spans="2:13" ht="28.7" customHeight="1" x14ac:dyDescent="0.25">
      <c r="B24" s="40"/>
      <c r="C24" s="41"/>
      <c r="D24" s="41"/>
      <c r="E24" s="42"/>
      <c r="F24" s="26"/>
      <c r="G24" s="27"/>
      <c r="H24" s="27">
        <f>QUANT4*UNIT4</f>
        <v>0</v>
      </c>
      <c r="J24" s="12"/>
      <c r="K24" s="12"/>
      <c r="L24" s="27"/>
      <c r="M24" s="27"/>
    </row>
    <row r="25" spans="2:13" ht="28.7" customHeight="1" x14ac:dyDescent="0.25">
      <c r="B25" s="32"/>
      <c r="C25" s="33"/>
      <c r="D25" s="33"/>
      <c r="E25" s="34"/>
      <c r="F25" s="19"/>
      <c r="G25" s="20"/>
      <c r="H25" s="20">
        <f>QUANT5*UNIT5</f>
        <v>0</v>
      </c>
      <c r="J25" s="12"/>
      <c r="K25" s="12"/>
      <c r="L25" s="20"/>
      <c r="M25" s="20"/>
    </row>
    <row r="26" spans="2:13" ht="28.7" customHeight="1" x14ac:dyDescent="0.25">
      <c r="B26" s="40"/>
      <c r="C26" s="41"/>
      <c r="D26" s="41"/>
      <c r="E26" s="42"/>
      <c r="F26" s="26"/>
      <c r="G26" s="27"/>
      <c r="H26" s="27">
        <f>QUANT6*UNIT6</f>
        <v>0</v>
      </c>
      <c r="J26" s="12"/>
      <c r="K26" s="12"/>
      <c r="L26" s="27"/>
      <c r="M26" s="27"/>
    </row>
    <row r="27" spans="2:13" ht="28.7" customHeight="1" x14ac:dyDescent="0.25">
      <c r="B27" s="32"/>
      <c r="C27" s="33"/>
      <c r="D27" s="33"/>
      <c r="E27" s="34"/>
      <c r="F27" s="19"/>
      <c r="G27" s="20"/>
      <c r="H27" s="20">
        <f>QUANT7*UNIT7</f>
        <v>0</v>
      </c>
      <c r="J27" s="12"/>
      <c r="K27" s="12"/>
      <c r="L27" s="20"/>
      <c r="M27" s="20"/>
    </row>
    <row r="28" spans="2:13" ht="28.7" customHeight="1" x14ac:dyDescent="0.25">
      <c r="B28" s="35"/>
      <c r="C28" s="36"/>
      <c r="D28" s="36"/>
      <c r="E28" s="37"/>
      <c r="F28" s="26"/>
      <c r="G28" s="28" t="s">
        <v>14</v>
      </c>
      <c r="H28" s="29">
        <f>SUM(H21:H27)</f>
        <v>0</v>
      </c>
      <c r="J28" s="12"/>
      <c r="K28" s="12"/>
      <c r="L28" s="27"/>
      <c r="M28" s="27"/>
    </row>
    <row r="29" spans="2:13" ht="14.25" customHeight="1" x14ac:dyDescent="0.25">
      <c r="J29" s="12"/>
      <c r="K29" s="12"/>
      <c r="L29" s="12"/>
      <c r="M29" s="12"/>
    </row>
    <row r="30" spans="2:13" ht="27" customHeight="1" x14ac:dyDescent="0.25">
      <c r="B30" s="46" t="s">
        <v>15</v>
      </c>
      <c r="C30" s="46"/>
      <c r="D30" s="46"/>
      <c r="E30" s="46"/>
      <c r="F30" s="46"/>
      <c r="G30" s="46"/>
      <c r="H30" s="46"/>
      <c r="J30" s="12"/>
      <c r="K30" s="12"/>
      <c r="L30" s="12"/>
      <c r="M30" s="12"/>
    </row>
    <row r="31" spans="2:13" ht="51.75" customHeight="1" x14ac:dyDescent="0.25">
      <c r="J31" s="12"/>
      <c r="K31" s="12"/>
      <c r="L31" s="12"/>
      <c r="M31" s="12"/>
    </row>
    <row r="32" spans="2:13" ht="14.25" customHeight="1" x14ac:dyDescent="0.25">
      <c r="F32" s="15" t="s">
        <v>16</v>
      </c>
      <c r="G32" s="15"/>
      <c r="H32" s="15"/>
      <c r="J32" s="12"/>
      <c r="K32" s="12"/>
      <c r="L32" s="12"/>
      <c r="M32" s="12"/>
    </row>
    <row r="33" spans="1:19" ht="14.25" customHeight="1" x14ac:dyDescent="0.25">
      <c r="F33" s="15" t="s">
        <v>17</v>
      </c>
      <c r="G33" s="15"/>
      <c r="H33" s="15"/>
      <c r="J33" s="12"/>
      <c r="K33" s="12"/>
      <c r="L33" s="12"/>
      <c r="M33" s="12"/>
    </row>
    <row r="34" spans="1:19" ht="14.25" customHeight="1" x14ac:dyDescent="0.25">
      <c r="J34" s="12"/>
      <c r="K34" s="12"/>
      <c r="L34" s="12"/>
      <c r="M34" s="12"/>
    </row>
    <row r="35" spans="1:19" ht="14.25" customHeight="1" x14ac:dyDescent="0.25">
      <c r="D35" s="21" t="s">
        <v>18</v>
      </c>
      <c r="E35" s="21"/>
      <c r="F35" s="38"/>
      <c r="G35" s="38"/>
      <c r="H35" s="38"/>
      <c r="J35" s="12"/>
      <c r="K35" s="12"/>
      <c r="L35" s="12"/>
      <c r="M35" s="12"/>
    </row>
    <row r="36" spans="1:19" ht="14.25" customHeight="1" x14ac:dyDescent="0.25">
      <c r="F36" s="39" t="s">
        <v>20</v>
      </c>
      <c r="G36" s="39"/>
      <c r="H36" s="39"/>
      <c r="J36" s="12"/>
      <c r="K36" s="12"/>
      <c r="L36" s="12"/>
      <c r="M36" s="12"/>
    </row>
    <row r="37" spans="1:19" ht="14.25" customHeight="1" x14ac:dyDescent="0.25">
      <c r="D37" s="21" t="s">
        <v>19</v>
      </c>
      <c r="E37" s="21"/>
      <c r="F37" s="38"/>
      <c r="G37" s="38"/>
      <c r="H37" s="38"/>
      <c r="J37" s="12"/>
      <c r="K37" s="12"/>
      <c r="L37" s="12"/>
      <c r="M37" s="12"/>
    </row>
    <row r="38" spans="1:19" ht="18" customHeight="1" x14ac:dyDescent="0.25">
      <c r="F38" s="39" t="s">
        <v>21</v>
      </c>
      <c r="G38" s="39"/>
      <c r="H38" s="39"/>
      <c r="J38" s="12"/>
      <c r="K38" s="12"/>
      <c r="L38" s="12"/>
      <c r="M38" s="12"/>
    </row>
    <row r="39" spans="1:19" ht="15" customHeight="1" x14ac:dyDescent="0.25">
      <c r="F39" s="22"/>
      <c r="G39" s="22"/>
      <c r="H39" s="22"/>
      <c r="J39" s="12"/>
      <c r="K39" s="45"/>
      <c r="L39" s="45"/>
      <c r="M39" s="45"/>
      <c r="N39" s="45"/>
      <c r="O39" s="45"/>
      <c r="P39" s="45"/>
      <c r="Q39" s="45"/>
      <c r="R39" s="45"/>
      <c r="S39" s="45"/>
    </row>
    <row r="40" spans="1:19" ht="14.25" customHeight="1" x14ac:dyDescent="0.25">
      <c r="J40" s="12"/>
      <c r="K40" s="45"/>
      <c r="L40" s="45"/>
      <c r="M40" s="45"/>
      <c r="N40" s="45"/>
      <c r="O40" s="45"/>
      <c r="P40" s="45"/>
      <c r="Q40" s="45"/>
      <c r="R40" s="45"/>
      <c r="S40" s="45"/>
    </row>
    <row r="41" spans="1:19" ht="17.25" customHeight="1" x14ac:dyDescent="0.25">
      <c r="J41" s="12"/>
      <c r="K41" s="45"/>
      <c r="L41" s="45"/>
      <c r="M41" s="45"/>
      <c r="N41" s="45"/>
      <c r="O41" s="45"/>
      <c r="P41" s="45"/>
      <c r="Q41" s="45"/>
      <c r="R41" s="45"/>
      <c r="S41" s="45"/>
    </row>
    <row r="42" spans="1:19" ht="15" customHeight="1" x14ac:dyDescent="0.25">
      <c r="J42" s="12"/>
      <c r="K42" s="12"/>
      <c r="L42" s="12"/>
      <c r="M42" s="12"/>
    </row>
    <row r="43" spans="1:19" ht="33" customHeight="1" x14ac:dyDescent="0.25">
      <c r="A43" s="43" t="s">
        <v>22</v>
      </c>
      <c r="B43" s="43"/>
      <c r="C43" s="43"/>
      <c r="D43" s="43"/>
      <c r="E43" s="43"/>
      <c r="F43" s="43"/>
      <c r="G43" s="43"/>
      <c r="H43" s="43"/>
      <c r="I43" s="43"/>
      <c r="J43" s="43"/>
      <c r="K43" s="12"/>
      <c r="L43" s="12"/>
      <c r="M43" s="12"/>
    </row>
    <row r="44" spans="1:19" ht="23.25" customHeight="1" x14ac:dyDescent="0.25">
      <c r="A44" s="44" t="s">
        <v>23</v>
      </c>
      <c r="B44" s="44"/>
      <c r="C44" s="44"/>
      <c r="D44" s="44"/>
      <c r="E44" s="44"/>
      <c r="F44" s="44"/>
      <c r="G44" s="44"/>
      <c r="H44" s="44"/>
      <c r="I44" s="44"/>
      <c r="J44" s="44"/>
    </row>
    <row r="45" spans="1:19" ht="15" customHeight="1" x14ac:dyDescent="0.25">
      <c r="A45" s="44"/>
      <c r="B45" s="44"/>
      <c r="C45" s="44"/>
      <c r="D45" s="44"/>
      <c r="E45" s="44"/>
      <c r="F45" s="44"/>
      <c r="G45" s="44"/>
      <c r="H45" s="44"/>
      <c r="I45" s="44"/>
      <c r="J45" s="44"/>
    </row>
    <row r="46" spans="1:19" x14ac:dyDescent="0.25">
      <c r="A46" s="44"/>
      <c r="B46" s="44"/>
      <c r="C46" s="44"/>
      <c r="D46" s="44"/>
      <c r="E46" s="44"/>
      <c r="F46" s="44"/>
      <c r="G46" s="44"/>
      <c r="H46" s="44"/>
      <c r="I46" s="44"/>
      <c r="J46" s="44"/>
    </row>
    <row r="47" spans="1:19" x14ac:dyDescent="0.25">
      <c r="A47" s="44"/>
      <c r="B47" s="44"/>
      <c r="C47" s="44"/>
      <c r="D47" s="44"/>
      <c r="E47" s="44"/>
      <c r="F47" s="44"/>
      <c r="G47" s="44"/>
      <c r="H47" s="44"/>
      <c r="I47" s="44"/>
      <c r="J47" s="44"/>
    </row>
    <row r="48" spans="1:19" x14ac:dyDescent="0.25">
      <c r="A48" s="44"/>
      <c r="B48" s="44"/>
      <c r="C48" s="44"/>
      <c r="D48" s="44"/>
      <c r="E48" s="44"/>
      <c r="F48" s="44"/>
      <c r="G48" s="44"/>
      <c r="H48" s="44"/>
      <c r="I48" s="44"/>
      <c r="J48" s="44"/>
    </row>
    <row r="49" spans="1:10" x14ac:dyDescent="0.25">
      <c r="A49" s="44"/>
      <c r="B49" s="44"/>
      <c r="C49" s="44"/>
      <c r="D49" s="44"/>
      <c r="E49" s="44"/>
      <c r="F49" s="44"/>
      <c r="G49" s="44"/>
      <c r="H49" s="44"/>
      <c r="I49" s="44"/>
      <c r="J49" s="44"/>
    </row>
    <row r="50" spans="1:10" x14ac:dyDescent="0.25">
      <c r="A50" s="44"/>
      <c r="B50" s="44"/>
      <c r="C50" s="44"/>
      <c r="D50" s="44"/>
      <c r="E50" s="44"/>
      <c r="F50" s="44"/>
      <c r="G50" s="44"/>
      <c r="H50" s="44"/>
      <c r="I50" s="44"/>
      <c r="J50" s="44"/>
    </row>
    <row r="51" spans="1:10" x14ac:dyDescent="0.25">
      <c r="A51" s="44"/>
      <c r="B51" s="44"/>
      <c r="C51" s="44"/>
      <c r="D51" s="44"/>
      <c r="E51" s="44"/>
      <c r="F51" s="44"/>
      <c r="G51" s="44"/>
      <c r="H51" s="44"/>
      <c r="I51" s="44"/>
      <c r="J51" s="44"/>
    </row>
    <row r="52" spans="1:10" x14ac:dyDescent="0.25">
      <c r="A52" s="44"/>
      <c r="B52" s="44"/>
      <c r="C52" s="44"/>
      <c r="D52" s="44"/>
      <c r="E52" s="44"/>
      <c r="F52" s="44"/>
      <c r="G52" s="44"/>
      <c r="H52" s="44"/>
      <c r="I52" s="44"/>
      <c r="J52" s="44"/>
    </row>
    <row r="53" spans="1:10" x14ac:dyDescent="0.25">
      <c r="A53" s="44"/>
      <c r="B53" s="44"/>
      <c r="C53" s="44"/>
      <c r="D53" s="44"/>
      <c r="E53" s="44"/>
      <c r="F53" s="44"/>
      <c r="G53" s="44"/>
      <c r="H53" s="44"/>
      <c r="I53" s="44"/>
      <c r="J53" s="44"/>
    </row>
    <row r="54" spans="1:10" x14ac:dyDescent="0.25">
      <c r="A54" s="44"/>
      <c r="B54" s="44"/>
      <c r="C54" s="44"/>
      <c r="D54" s="44"/>
      <c r="E54" s="44"/>
      <c r="F54" s="44"/>
      <c r="G54" s="44"/>
      <c r="H54" s="44"/>
      <c r="I54" s="44"/>
      <c r="J54" s="44"/>
    </row>
    <row r="55" spans="1:10" x14ac:dyDescent="0.25">
      <c r="A55" s="44"/>
      <c r="B55" s="44"/>
      <c r="C55" s="44"/>
      <c r="D55" s="44"/>
      <c r="E55" s="44"/>
      <c r="F55" s="44"/>
      <c r="G55" s="44"/>
      <c r="H55" s="44"/>
      <c r="I55" s="44"/>
      <c r="J55" s="44"/>
    </row>
    <row r="56" spans="1:10" x14ac:dyDescent="0.25">
      <c r="A56" s="44"/>
      <c r="B56" s="44"/>
      <c r="C56" s="44"/>
      <c r="D56" s="44"/>
      <c r="E56" s="44"/>
      <c r="F56" s="44"/>
      <c r="G56" s="44"/>
      <c r="H56" s="44"/>
      <c r="I56" s="44"/>
      <c r="J56" s="44"/>
    </row>
    <row r="57" spans="1:10" x14ac:dyDescent="0.25">
      <c r="A57" s="44"/>
      <c r="B57" s="44"/>
      <c r="C57" s="44"/>
      <c r="D57" s="44"/>
      <c r="E57" s="44"/>
      <c r="F57" s="44"/>
      <c r="G57" s="44"/>
      <c r="H57" s="44"/>
      <c r="I57" s="44"/>
      <c r="J57" s="44"/>
    </row>
    <row r="58" spans="1:10" x14ac:dyDescent="0.25">
      <c r="A58" s="44"/>
      <c r="B58" s="44"/>
      <c r="C58" s="44"/>
      <c r="D58" s="44"/>
      <c r="E58" s="44"/>
      <c r="F58" s="44"/>
      <c r="G58" s="44"/>
      <c r="H58" s="44"/>
      <c r="I58" s="44"/>
      <c r="J58" s="44"/>
    </row>
    <row r="59" spans="1:10" x14ac:dyDescent="0.25">
      <c r="A59" s="44"/>
      <c r="B59" s="44"/>
      <c r="C59" s="44"/>
      <c r="D59" s="44"/>
      <c r="E59" s="44"/>
      <c r="F59" s="44"/>
      <c r="G59" s="44"/>
      <c r="H59" s="44"/>
      <c r="I59" s="44"/>
      <c r="J59" s="44"/>
    </row>
    <row r="60" spans="1:10" x14ac:dyDescent="0.25">
      <c r="A60" s="44"/>
      <c r="B60" s="44"/>
      <c r="C60" s="44"/>
      <c r="D60" s="44"/>
      <c r="E60" s="44"/>
      <c r="F60" s="44"/>
      <c r="G60" s="44"/>
      <c r="H60" s="44"/>
      <c r="I60" s="44"/>
      <c r="J60" s="44"/>
    </row>
    <row r="61" spans="1:10" x14ac:dyDescent="0.25">
      <c r="A61" s="44"/>
      <c r="B61" s="44"/>
      <c r="C61" s="44"/>
      <c r="D61" s="44"/>
      <c r="E61" s="44"/>
      <c r="F61" s="44"/>
      <c r="G61" s="44"/>
      <c r="H61" s="44"/>
      <c r="I61" s="44"/>
      <c r="J61" s="44"/>
    </row>
    <row r="62" spans="1:10" x14ac:dyDescent="0.25">
      <c r="A62" s="44"/>
      <c r="B62" s="44"/>
      <c r="C62" s="44"/>
      <c r="D62" s="44"/>
      <c r="E62" s="44"/>
      <c r="F62" s="44"/>
      <c r="G62" s="44"/>
      <c r="H62" s="44"/>
      <c r="I62" s="44"/>
      <c r="J62" s="44"/>
    </row>
    <row r="63" spans="1:10" x14ac:dyDescent="0.25">
      <c r="A63" s="44"/>
      <c r="B63" s="44"/>
      <c r="C63" s="44"/>
      <c r="D63" s="44"/>
      <c r="E63" s="44"/>
      <c r="F63" s="44"/>
      <c r="G63" s="44"/>
      <c r="H63" s="44"/>
      <c r="I63" s="44"/>
      <c r="J63" s="44"/>
    </row>
    <row r="64" spans="1:10" x14ac:dyDescent="0.25">
      <c r="A64" s="44"/>
      <c r="B64" s="44"/>
      <c r="C64" s="44"/>
      <c r="D64" s="44"/>
      <c r="E64" s="44"/>
      <c r="F64" s="44"/>
      <c r="G64" s="44"/>
      <c r="H64" s="44"/>
      <c r="I64" s="44"/>
      <c r="J64" s="44"/>
    </row>
    <row r="65" spans="1:10" x14ac:dyDescent="0.25">
      <c r="A65" s="44"/>
      <c r="B65" s="44"/>
      <c r="C65" s="44"/>
      <c r="D65" s="44"/>
      <c r="E65" s="44"/>
      <c r="F65" s="44"/>
      <c r="G65" s="44"/>
      <c r="H65" s="44"/>
      <c r="I65" s="44"/>
      <c r="J65" s="44"/>
    </row>
    <row r="66" spans="1:10" x14ac:dyDescent="0.25">
      <c r="A66" s="44"/>
      <c r="B66" s="44"/>
      <c r="C66" s="44"/>
      <c r="D66" s="44"/>
      <c r="E66" s="44"/>
      <c r="F66" s="44"/>
      <c r="G66" s="44"/>
      <c r="H66" s="44"/>
      <c r="I66" s="44"/>
      <c r="J66" s="44"/>
    </row>
    <row r="67" spans="1:10" x14ac:dyDescent="0.25">
      <c r="A67" s="44"/>
      <c r="B67" s="44"/>
      <c r="C67" s="44"/>
      <c r="D67" s="44"/>
      <c r="E67" s="44"/>
      <c r="F67" s="44"/>
      <c r="G67" s="44"/>
      <c r="H67" s="44"/>
      <c r="I67" s="44"/>
      <c r="J67" s="44"/>
    </row>
    <row r="68" spans="1:10" x14ac:dyDescent="0.25">
      <c r="A68" s="44"/>
      <c r="B68" s="44"/>
      <c r="C68" s="44"/>
      <c r="D68" s="44"/>
      <c r="E68" s="44"/>
      <c r="F68" s="44"/>
      <c r="G68" s="44"/>
      <c r="H68" s="44"/>
      <c r="I68" s="44"/>
      <c r="J68" s="44"/>
    </row>
    <row r="69" spans="1:10" x14ac:dyDescent="0.25">
      <c r="A69" s="44"/>
      <c r="B69" s="44"/>
      <c r="C69" s="44"/>
      <c r="D69" s="44"/>
      <c r="E69" s="44"/>
      <c r="F69" s="44"/>
      <c r="G69" s="44"/>
      <c r="H69" s="44"/>
      <c r="I69" s="44"/>
      <c r="J69" s="44"/>
    </row>
    <row r="70" spans="1:10" x14ac:dyDescent="0.25">
      <c r="A70" s="44"/>
      <c r="B70" s="44"/>
      <c r="C70" s="44"/>
      <c r="D70" s="44"/>
      <c r="E70" s="44"/>
      <c r="F70" s="44"/>
      <c r="G70" s="44"/>
      <c r="H70" s="44"/>
      <c r="I70" s="44"/>
      <c r="J70" s="44"/>
    </row>
    <row r="71" spans="1:10" x14ac:dyDescent="0.25">
      <c r="A71" s="44"/>
      <c r="B71" s="44"/>
      <c r="C71" s="44"/>
      <c r="D71" s="44"/>
      <c r="E71" s="44"/>
      <c r="F71" s="44"/>
      <c r="G71" s="44"/>
      <c r="H71" s="44"/>
      <c r="I71" s="44"/>
      <c r="J71" s="44"/>
    </row>
    <row r="72" spans="1:10" x14ac:dyDescent="0.25">
      <c r="A72" s="44"/>
      <c r="B72" s="44"/>
      <c r="C72" s="44"/>
      <c r="D72" s="44"/>
      <c r="E72" s="44"/>
      <c r="F72" s="44"/>
      <c r="G72" s="44"/>
      <c r="H72" s="44"/>
      <c r="I72" s="44"/>
      <c r="J72" s="44"/>
    </row>
    <row r="73" spans="1:10" x14ac:dyDescent="0.25">
      <c r="A73" s="44"/>
      <c r="B73" s="44"/>
      <c r="C73" s="44"/>
      <c r="D73" s="44"/>
      <c r="E73" s="44"/>
      <c r="F73" s="44"/>
      <c r="G73" s="44"/>
      <c r="H73" s="44"/>
      <c r="I73" s="44"/>
      <c r="J73" s="44"/>
    </row>
    <row r="74" spans="1:10" x14ac:dyDescent="0.25">
      <c r="A74" s="44"/>
      <c r="B74" s="44"/>
      <c r="C74" s="44"/>
      <c r="D74" s="44"/>
      <c r="E74" s="44"/>
      <c r="F74" s="44"/>
      <c r="G74" s="44"/>
      <c r="H74" s="44"/>
      <c r="I74" s="44"/>
      <c r="J74" s="44"/>
    </row>
    <row r="75" spans="1:10" x14ac:dyDescent="0.25">
      <c r="A75" s="44"/>
      <c r="B75" s="44"/>
      <c r="C75" s="44"/>
      <c r="D75" s="44"/>
      <c r="E75" s="44"/>
      <c r="F75" s="44"/>
      <c r="G75" s="44"/>
      <c r="H75" s="44"/>
      <c r="I75" s="44"/>
      <c r="J75" s="44"/>
    </row>
    <row r="76" spans="1:10" x14ac:dyDescent="0.25">
      <c r="A76" s="44"/>
      <c r="B76" s="44"/>
      <c r="C76" s="44"/>
      <c r="D76" s="44"/>
      <c r="E76" s="44"/>
      <c r="F76" s="44"/>
      <c r="G76" s="44"/>
      <c r="H76" s="44"/>
      <c r="I76" s="44"/>
      <c r="J76" s="44"/>
    </row>
    <row r="77" spans="1:10" x14ac:dyDescent="0.25">
      <c r="A77" s="44"/>
      <c r="B77" s="44"/>
      <c r="C77" s="44"/>
      <c r="D77" s="44"/>
      <c r="E77" s="44"/>
      <c r="F77" s="44"/>
      <c r="G77" s="44"/>
      <c r="H77" s="44"/>
      <c r="I77" s="44"/>
      <c r="J77" s="44"/>
    </row>
    <row r="78" spans="1:10" x14ac:dyDescent="0.25">
      <c r="A78" s="44"/>
      <c r="B78" s="44"/>
      <c r="C78" s="44"/>
      <c r="D78" s="44"/>
      <c r="E78" s="44"/>
      <c r="F78" s="44"/>
      <c r="G78" s="44"/>
      <c r="H78" s="44"/>
      <c r="I78" s="44"/>
      <c r="J78" s="44"/>
    </row>
    <row r="79" spans="1:10" x14ac:dyDescent="0.25">
      <c r="A79" s="44"/>
      <c r="B79" s="44"/>
      <c r="C79" s="44"/>
      <c r="D79" s="44"/>
      <c r="E79" s="44"/>
      <c r="F79" s="44"/>
      <c r="G79" s="44"/>
      <c r="H79" s="44"/>
      <c r="I79" s="44"/>
      <c r="J79" s="44"/>
    </row>
    <row r="80" spans="1:10" x14ac:dyDescent="0.25">
      <c r="A80" s="44"/>
      <c r="B80" s="44"/>
      <c r="C80" s="44"/>
      <c r="D80" s="44"/>
      <c r="E80" s="44"/>
      <c r="F80" s="44"/>
      <c r="G80" s="44"/>
      <c r="H80" s="44"/>
      <c r="I80" s="44"/>
      <c r="J80" s="44"/>
    </row>
    <row r="81" spans="1:10" x14ac:dyDescent="0.25">
      <c r="A81" s="44"/>
      <c r="B81" s="44"/>
      <c r="C81" s="44"/>
      <c r="D81" s="44"/>
      <c r="E81" s="44"/>
      <c r="F81" s="44"/>
      <c r="G81" s="44"/>
      <c r="H81" s="44"/>
      <c r="I81" s="44"/>
      <c r="J81" s="44"/>
    </row>
    <row r="82" spans="1:10" x14ac:dyDescent="0.25">
      <c r="A82" s="44"/>
      <c r="B82" s="44"/>
      <c r="C82" s="44"/>
      <c r="D82" s="44"/>
      <c r="E82" s="44"/>
      <c r="F82" s="44"/>
      <c r="G82" s="44"/>
      <c r="H82" s="44"/>
      <c r="I82" s="44"/>
      <c r="J82" s="44"/>
    </row>
    <row r="83" spans="1:10" x14ac:dyDescent="0.25">
      <c r="A83" s="44"/>
      <c r="B83" s="44"/>
      <c r="C83" s="44"/>
      <c r="D83" s="44"/>
      <c r="E83" s="44"/>
      <c r="F83" s="44"/>
      <c r="G83" s="44"/>
      <c r="H83" s="44"/>
      <c r="I83" s="44"/>
      <c r="J83" s="44"/>
    </row>
    <row r="84" spans="1:10" x14ac:dyDescent="0.25">
      <c r="A84" s="44"/>
      <c r="B84" s="44"/>
      <c r="C84" s="44"/>
      <c r="D84" s="44"/>
      <c r="E84" s="44"/>
      <c r="F84" s="44"/>
      <c r="G84" s="44"/>
      <c r="H84" s="44"/>
      <c r="I84" s="44"/>
      <c r="J84" s="44"/>
    </row>
    <row r="85" spans="1:10" x14ac:dyDescent="0.25">
      <c r="A85" s="44"/>
      <c r="B85" s="44"/>
      <c r="C85" s="44"/>
      <c r="D85" s="44"/>
      <c r="E85" s="44"/>
      <c r="F85" s="44"/>
      <c r="G85" s="44"/>
      <c r="H85" s="44"/>
      <c r="I85" s="44"/>
      <c r="J85" s="44"/>
    </row>
    <row r="86" spans="1:10" x14ac:dyDescent="0.25">
      <c r="A86" s="44"/>
      <c r="B86" s="44"/>
      <c r="C86" s="44"/>
      <c r="D86" s="44"/>
      <c r="E86" s="44"/>
      <c r="F86" s="44"/>
      <c r="G86" s="44"/>
      <c r="H86" s="44"/>
      <c r="I86" s="44"/>
      <c r="J86" s="44"/>
    </row>
    <row r="87" spans="1:10" ht="9.75" customHeight="1" x14ac:dyDescent="0.25">
      <c r="A87" s="44"/>
      <c r="B87" s="44"/>
      <c r="C87" s="44"/>
      <c r="D87" s="44"/>
      <c r="E87" s="44"/>
      <c r="F87" s="44"/>
      <c r="G87" s="44"/>
      <c r="H87" s="44"/>
      <c r="I87" s="44"/>
      <c r="J87" s="44"/>
    </row>
    <row r="88" spans="1:10" ht="6" customHeight="1" x14ac:dyDescent="0.25">
      <c r="A88" s="44"/>
      <c r="B88" s="44"/>
      <c r="C88" s="44"/>
      <c r="D88" s="44"/>
      <c r="E88" s="44"/>
      <c r="F88" s="44"/>
      <c r="G88" s="44"/>
      <c r="H88" s="44"/>
      <c r="I88" s="44"/>
      <c r="J88" s="44"/>
    </row>
  </sheetData>
  <mergeCells count="29">
    <mergeCell ref="G9:I9"/>
    <mergeCell ref="C9:D9"/>
    <mergeCell ref="C11:D11"/>
    <mergeCell ref="C12:D12"/>
    <mergeCell ref="C13:D13"/>
    <mergeCell ref="C15:D15"/>
    <mergeCell ref="B20:E20"/>
    <mergeCell ref="C16:D16"/>
    <mergeCell ref="C17:D17"/>
    <mergeCell ref="G11:I11"/>
    <mergeCell ref="G17:I17"/>
    <mergeCell ref="G12:I12"/>
    <mergeCell ref="G14:I14"/>
    <mergeCell ref="A43:J43"/>
    <mergeCell ref="A44:J88"/>
    <mergeCell ref="K39:S41"/>
    <mergeCell ref="B30:H30"/>
    <mergeCell ref="F38:H38"/>
    <mergeCell ref="B21:E21"/>
    <mergeCell ref="B28:E28"/>
    <mergeCell ref="F35:H35"/>
    <mergeCell ref="F36:H36"/>
    <mergeCell ref="F37:H37"/>
    <mergeCell ref="B24:E24"/>
    <mergeCell ref="B25:E25"/>
    <mergeCell ref="B26:E26"/>
    <mergeCell ref="B27:E27"/>
    <mergeCell ref="B23:E23"/>
    <mergeCell ref="B22:E22"/>
  </mergeCells>
  <pageMargins left="0.5" right="0.5" top="0.5" bottom="0.5" header="0" footer="0"/>
  <pageSetup orientation="portrait" r:id="rId1"/>
  <headerFooter>
    <oddFooter>&amp;C"NORTHSHORE SHEET METAL, INC.
11831 BEVERLY PARK ROAD, BUILDING C * EVERETT, WA 98204 * PHONE: 425.740.3700 * FAX: 425.740.3701
www.northshoresheetmetal.com"</oddFooter>
  </headerFooter>
  <drawing r:id="rId2"/>
  <legacyDrawing r:id="rId3"/>
  <controls>
    <mc:AlternateContent xmlns:mc="http://schemas.openxmlformats.org/markup-compatibility/2006">
      <mc:Choice Requires="x14">
        <control shapeId="1036" r:id="rId4" name="CommandButton2">
          <controlPr defaultSize="0" autoLine="0" r:id="rId5">
            <anchor moveWithCells="1">
              <from>
                <xdr:col>14</xdr:col>
                <xdr:colOff>438150</xdr:colOff>
                <xdr:row>10</xdr:row>
                <xdr:rowOff>57150</xdr:rowOff>
              </from>
              <to>
                <xdr:col>17</xdr:col>
                <xdr:colOff>123825</xdr:colOff>
                <xdr:row>14</xdr:row>
                <xdr:rowOff>161925</xdr:rowOff>
              </to>
            </anchor>
          </controlPr>
        </control>
      </mc:Choice>
      <mc:Fallback>
        <control shapeId="1036" r:id="rId4" name="CommandButton2"/>
      </mc:Fallback>
    </mc:AlternateContent>
    <mc:AlternateContent xmlns:mc="http://schemas.openxmlformats.org/markup-compatibility/2006">
      <mc:Choice Requires="x14">
        <control shapeId="1035" r:id="rId6" name="CommandButton1">
          <controlPr defaultSize="0" autoLine="0" r:id="rId7">
            <anchor moveWithCells="1">
              <from>
                <xdr:col>10</xdr:col>
                <xdr:colOff>171450</xdr:colOff>
                <xdr:row>4</xdr:row>
                <xdr:rowOff>142875</xdr:rowOff>
              </from>
              <to>
                <xdr:col>14</xdr:col>
                <xdr:colOff>123825</xdr:colOff>
                <xdr:row>7</xdr:row>
                <xdr:rowOff>161925</xdr:rowOff>
              </to>
            </anchor>
          </controlPr>
        </control>
      </mc:Choice>
      <mc:Fallback>
        <control shapeId="1035" r:id="rId6" name="CommandButton1"/>
      </mc:Fallback>
    </mc:AlternateContent>
    <mc:AlternateContent xmlns:mc="http://schemas.openxmlformats.org/markup-compatibility/2006">
      <mc:Choice Requires="x14">
        <control shapeId="1028" r:id="rId8" name="ClearBtn">
          <controlPr defaultSize="0" autoLine="0" r:id="rId9">
            <anchor moveWithCells="1">
              <from>
                <xdr:col>14</xdr:col>
                <xdr:colOff>266700</xdr:colOff>
                <xdr:row>0</xdr:row>
                <xdr:rowOff>142875</xdr:rowOff>
              </from>
              <to>
                <xdr:col>15</xdr:col>
                <xdr:colOff>228600</xdr:colOff>
                <xdr:row>4</xdr:row>
                <xdr:rowOff>57150</xdr:rowOff>
              </to>
            </anchor>
          </controlPr>
        </control>
      </mc:Choice>
      <mc:Fallback>
        <control shapeId="1028" r:id="rId8" name="ClearBtn"/>
      </mc:Fallback>
    </mc:AlternateContent>
    <mc:AlternateContent xmlns:mc="http://schemas.openxmlformats.org/markup-compatibility/2006">
      <mc:Choice Requires="x14">
        <control shapeId="1025" r:id="rId10" name="PONumberBtn">
          <controlPr defaultSize="0" autoLine="0" r:id="rId11">
            <anchor moveWithCells="1">
              <from>
                <xdr:col>10</xdr:col>
                <xdr:colOff>161925</xdr:colOff>
                <xdr:row>0</xdr:row>
                <xdr:rowOff>152400</xdr:rowOff>
              </from>
              <to>
                <xdr:col>14</xdr:col>
                <xdr:colOff>114300</xdr:colOff>
                <xdr:row>4</xdr:row>
                <xdr:rowOff>66675</xdr:rowOff>
              </to>
            </anchor>
          </controlPr>
        </control>
      </mc:Choice>
      <mc:Fallback>
        <control shapeId="1025" r:id="rId10" name="PONumberBtn"/>
      </mc:Fallback>
    </mc:AlternateContent>
    <mc:AlternateContent xmlns:mc="http://schemas.openxmlformats.org/markup-compatibility/2006">
      <mc:Choice Requires="x14">
        <control shapeId="1027" r:id="rId12" name="SendMat21">
          <controlPr defaultSize="0" autoFill="0" autoLine="0" r:id="rId13">
            <anchor moveWithCells="1">
              <from>
                <xdr:col>13</xdr:col>
                <xdr:colOff>9525</xdr:colOff>
                <xdr:row>20</xdr:row>
                <xdr:rowOff>104775</xdr:rowOff>
              </from>
              <to>
                <xdr:col>15</xdr:col>
                <xdr:colOff>400050</xdr:colOff>
                <xdr:row>21</xdr:row>
                <xdr:rowOff>0</xdr:rowOff>
              </to>
            </anchor>
          </controlPr>
        </control>
      </mc:Choice>
      <mc:Fallback>
        <control shapeId="1027" r:id="rId12" name="SendMat21"/>
      </mc:Fallback>
    </mc:AlternateContent>
    <mc:AlternateContent xmlns:mc="http://schemas.openxmlformats.org/markup-compatibility/2006">
      <mc:Choice Requires="x14">
        <control shapeId="1029" r:id="rId14" name="SendMat22">
          <controlPr defaultSize="0" autoFill="0" autoLine="0" r:id="rId15">
            <anchor moveWithCells="1">
              <from>
                <xdr:col>13</xdr:col>
                <xdr:colOff>9525</xdr:colOff>
                <xdr:row>21</xdr:row>
                <xdr:rowOff>104775</xdr:rowOff>
              </from>
              <to>
                <xdr:col>15</xdr:col>
                <xdr:colOff>400050</xdr:colOff>
                <xdr:row>22</xdr:row>
                <xdr:rowOff>0</xdr:rowOff>
              </to>
            </anchor>
          </controlPr>
        </control>
      </mc:Choice>
      <mc:Fallback>
        <control shapeId="1029" r:id="rId14" name="SendMat22"/>
      </mc:Fallback>
    </mc:AlternateContent>
    <mc:AlternateContent xmlns:mc="http://schemas.openxmlformats.org/markup-compatibility/2006">
      <mc:Choice Requires="x14">
        <control shapeId="1030" r:id="rId16" name="SendMat23">
          <controlPr defaultSize="0" autoFill="0" autoLine="0" r:id="rId17">
            <anchor moveWithCells="1">
              <from>
                <xdr:col>13</xdr:col>
                <xdr:colOff>9525</xdr:colOff>
                <xdr:row>22</xdr:row>
                <xdr:rowOff>104775</xdr:rowOff>
              </from>
              <to>
                <xdr:col>15</xdr:col>
                <xdr:colOff>400050</xdr:colOff>
                <xdr:row>23</xdr:row>
                <xdr:rowOff>0</xdr:rowOff>
              </to>
            </anchor>
          </controlPr>
        </control>
      </mc:Choice>
      <mc:Fallback>
        <control shapeId="1030" r:id="rId16" name="SendMat23"/>
      </mc:Fallback>
    </mc:AlternateContent>
    <mc:AlternateContent xmlns:mc="http://schemas.openxmlformats.org/markup-compatibility/2006">
      <mc:Choice Requires="x14">
        <control shapeId="1031" r:id="rId18" name="SendMat24">
          <controlPr defaultSize="0" autoFill="0" autoLine="0" r:id="rId19">
            <anchor moveWithCells="1">
              <from>
                <xdr:col>13</xdr:col>
                <xdr:colOff>9525</xdr:colOff>
                <xdr:row>23</xdr:row>
                <xdr:rowOff>104775</xdr:rowOff>
              </from>
              <to>
                <xdr:col>15</xdr:col>
                <xdr:colOff>400050</xdr:colOff>
                <xdr:row>24</xdr:row>
                <xdr:rowOff>0</xdr:rowOff>
              </to>
            </anchor>
          </controlPr>
        </control>
      </mc:Choice>
      <mc:Fallback>
        <control shapeId="1031" r:id="rId18" name="SendMat24"/>
      </mc:Fallback>
    </mc:AlternateContent>
    <mc:AlternateContent xmlns:mc="http://schemas.openxmlformats.org/markup-compatibility/2006">
      <mc:Choice Requires="x14">
        <control shapeId="1032" r:id="rId20" name="SendMat25">
          <controlPr defaultSize="0" autoFill="0" autoLine="0" r:id="rId21">
            <anchor moveWithCells="1">
              <from>
                <xdr:col>13</xdr:col>
                <xdr:colOff>9525</xdr:colOff>
                <xdr:row>24</xdr:row>
                <xdr:rowOff>104775</xdr:rowOff>
              </from>
              <to>
                <xdr:col>15</xdr:col>
                <xdr:colOff>400050</xdr:colOff>
                <xdr:row>25</xdr:row>
                <xdr:rowOff>0</xdr:rowOff>
              </to>
            </anchor>
          </controlPr>
        </control>
      </mc:Choice>
      <mc:Fallback>
        <control shapeId="1032" r:id="rId20" name="SendMat25"/>
      </mc:Fallback>
    </mc:AlternateContent>
    <mc:AlternateContent xmlns:mc="http://schemas.openxmlformats.org/markup-compatibility/2006">
      <mc:Choice Requires="x14">
        <control shapeId="1033" r:id="rId22" name="SendMat26">
          <controlPr defaultSize="0" autoFill="0" autoLine="0" r:id="rId23">
            <anchor moveWithCells="1">
              <from>
                <xdr:col>13</xdr:col>
                <xdr:colOff>9525</xdr:colOff>
                <xdr:row>25</xdr:row>
                <xdr:rowOff>104775</xdr:rowOff>
              </from>
              <to>
                <xdr:col>15</xdr:col>
                <xdr:colOff>400050</xdr:colOff>
                <xdr:row>26</xdr:row>
                <xdr:rowOff>0</xdr:rowOff>
              </to>
            </anchor>
          </controlPr>
        </control>
      </mc:Choice>
      <mc:Fallback>
        <control shapeId="1033" r:id="rId22" name="SendMat26"/>
      </mc:Fallback>
    </mc:AlternateContent>
    <mc:AlternateContent xmlns:mc="http://schemas.openxmlformats.org/markup-compatibility/2006">
      <mc:Choice Requires="x14">
        <control shapeId="1034" r:id="rId24" name="SendMat27">
          <controlPr defaultSize="0" autoFill="0" autoLine="0" r:id="rId25">
            <anchor moveWithCells="1">
              <from>
                <xdr:col>13</xdr:col>
                <xdr:colOff>9525</xdr:colOff>
                <xdr:row>26</xdr:row>
                <xdr:rowOff>104775</xdr:rowOff>
              </from>
              <to>
                <xdr:col>15</xdr:col>
                <xdr:colOff>400050</xdr:colOff>
                <xdr:row>27</xdr:row>
                <xdr:rowOff>0</xdr:rowOff>
              </to>
            </anchor>
          </controlPr>
        </control>
      </mc:Choice>
      <mc:Fallback>
        <control shapeId="1034" r:id="rId24" name="SendMat2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35"/>
  <sheetViews>
    <sheetView topLeftCell="A10" workbookViewId="0">
      <selection activeCell="I9" sqref="I9"/>
    </sheetView>
  </sheetViews>
  <sheetFormatPr defaultRowHeight="15" x14ac:dyDescent="0.25"/>
  <cols>
    <col min="1" max="1" width="9.85546875" bestFit="1" customWidth="1"/>
    <col min="2" max="2" width="23" bestFit="1" customWidth="1"/>
    <col min="3" max="3" width="24.5703125" bestFit="1" customWidth="1"/>
    <col min="4" max="4" width="35.42578125" bestFit="1" customWidth="1"/>
  </cols>
  <sheetData>
    <row r="1" spans="1:4" ht="15.75" customHeight="1" x14ac:dyDescent="0.25">
      <c r="A1" t="s">
        <v>325</v>
      </c>
      <c r="B1" t="s">
        <v>326</v>
      </c>
      <c r="C1" t="s">
        <v>327</v>
      </c>
      <c r="D1" t="s">
        <v>326</v>
      </c>
    </row>
    <row r="2" spans="1:4" ht="15.75" customHeight="1" x14ac:dyDescent="0.25">
      <c r="A2" s="4" t="s">
        <v>49</v>
      </c>
      <c r="B2" s="4" t="s">
        <v>139</v>
      </c>
      <c r="C2" s="4" t="s">
        <v>35</v>
      </c>
      <c r="D2" s="5" t="s">
        <v>51</v>
      </c>
    </row>
    <row r="3" spans="1:4" ht="15.75" customHeight="1" x14ac:dyDescent="0.25">
      <c r="A3" s="4" t="s">
        <v>33</v>
      </c>
      <c r="B3" s="4" t="s">
        <v>34</v>
      </c>
      <c r="C3" s="4" t="s">
        <v>35</v>
      </c>
      <c r="D3" s="5" t="s">
        <v>36</v>
      </c>
    </row>
    <row r="4" spans="1:4" ht="15.75" customHeight="1" x14ac:dyDescent="0.25">
      <c r="A4" s="4" t="s">
        <v>105</v>
      </c>
      <c r="B4" s="4" t="s">
        <v>34</v>
      </c>
      <c r="C4" s="4" t="s">
        <v>48</v>
      </c>
      <c r="D4" s="5" t="s">
        <v>36</v>
      </c>
    </row>
    <row r="5" spans="1:4" ht="15.75" customHeight="1" x14ac:dyDescent="0.25">
      <c r="A5" s="4" t="s">
        <v>136</v>
      </c>
      <c r="B5" s="4" t="s">
        <v>137</v>
      </c>
      <c r="C5" s="4" t="s">
        <v>35</v>
      </c>
      <c r="D5" s="5" t="s">
        <v>84</v>
      </c>
    </row>
    <row r="6" spans="1:4" ht="15.75" customHeight="1" x14ac:dyDescent="0.25">
      <c r="A6" s="4" t="s">
        <v>53</v>
      </c>
      <c r="B6" s="4" t="s">
        <v>76</v>
      </c>
      <c r="C6" s="4" t="s">
        <v>35</v>
      </c>
      <c r="D6" s="5" t="s">
        <v>36</v>
      </c>
    </row>
    <row r="7" spans="1:4" ht="15.75" customHeight="1" x14ac:dyDescent="0.25">
      <c r="A7" s="4">
        <v>12</v>
      </c>
      <c r="B7" s="4" t="s">
        <v>126</v>
      </c>
      <c r="C7" s="4" t="s">
        <v>35</v>
      </c>
      <c r="D7" s="5" t="s">
        <v>36</v>
      </c>
    </row>
    <row r="8" spans="1:4" ht="15.75" customHeight="1" x14ac:dyDescent="0.25">
      <c r="A8" s="1" t="s">
        <v>53</v>
      </c>
      <c r="B8" s="1" t="s">
        <v>170</v>
      </c>
      <c r="C8" s="1" t="s">
        <v>35</v>
      </c>
      <c r="D8" s="1" t="s">
        <v>171</v>
      </c>
    </row>
    <row r="9" spans="1:4" ht="15.75" customHeight="1" x14ac:dyDescent="0.25">
      <c r="A9" s="4" t="s">
        <v>82</v>
      </c>
      <c r="B9" s="4" t="s">
        <v>83</v>
      </c>
      <c r="C9" s="4" t="s">
        <v>78</v>
      </c>
      <c r="D9" s="5" t="s">
        <v>84</v>
      </c>
    </row>
    <row r="10" spans="1:4" ht="15.75" customHeight="1" x14ac:dyDescent="0.25">
      <c r="A10" s="4"/>
      <c r="B10" s="4" t="s">
        <v>106</v>
      </c>
      <c r="C10" s="4" t="s">
        <v>107</v>
      </c>
      <c r="D10" s="5" t="s">
        <v>108</v>
      </c>
    </row>
    <row r="11" spans="1:4" ht="15.75" customHeight="1" x14ac:dyDescent="0.25">
      <c r="A11" s="1" t="s">
        <v>160</v>
      </c>
      <c r="B11" s="1" t="s">
        <v>245</v>
      </c>
      <c r="C11" s="1" t="s">
        <v>246</v>
      </c>
      <c r="D11" s="1" t="s">
        <v>51</v>
      </c>
    </row>
    <row r="12" spans="1:4" ht="15.75" customHeight="1" x14ac:dyDescent="0.25">
      <c r="A12" s="4">
        <v>0.125</v>
      </c>
      <c r="B12" s="4" t="s">
        <v>133</v>
      </c>
      <c r="C12" s="4" t="s">
        <v>134</v>
      </c>
      <c r="D12" s="5" t="s">
        <v>133</v>
      </c>
    </row>
    <row r="13" spans="1:4" ht="15.75" customHeight="1" x14ac:dyDescent="0.25">
      <c r="A13" s="1" t="s">
        <v>208</v>
      </c>
      <c r="B13" s="1" t="s">
        <v>209</v>
      </c>
      <c r="C13" s="1" t="s">
        <v>38</v>
      </c>
      <c r="D13" s="1" t="s">
        <v>210</v>
      </c>
    </row>
    <row r="14" spans="1:4" ht="15.75" customHeight="1" x14ac:dyDescent="0.25">
      <c r="A14" s="4">
        <v>125</v>
      </c>
      <c r="B14" s="4" t="s">
        <v>94</v>
      </c>
      <c r="C14" s="4" t="s">
        <v>66</v>
      </c>
      <c r="D14" s="5" t="s">
        <v>95</v>
      </c>
    </row>
    <row r="15" spans="1:4" ht="15.75" customHeight="1" x14ac:dyDescent="0.25">
      <c r="A15" s="1" t="s">
        <v>279</v>
      </c>
      <c r="B15" s="1" t="s">
        <v>280</v>
      </c>
      <c r="C15" s="1" t="s">
        <v>35</v>
      </c>
      <c r="D15" s="1" t="s">
        <v>281</v>
      </c>
    </row>
    <row r="16" spans="1:4" ht="15.75" customHeight="1" x14ac:dyDescent="0.25">
      <c r="A16" s="4" t="s">
        <v>77</v>
      </c>
      <c r="B16" s="4" t="s">
        <v>151</v>
      </c>
      <c r="C16" s="4" t="s">
        <v>35</v>
      </c>
      <c r="D16" s="5" t="s">
        <v>152</v>
      </c>
    </row>
    <row r="17" spans="1:4" ht="15.75" customHeight="1" x14ac:dyDescent="0.25">
      <c r="A17" s="4" t="s">
        <v>53</v>
      </c>
      <c r="B17" s="4" t="s">
        <v>54</v>
      </c>
      <c r="C17" s="4" t="s">
        <v>35</v>
      </c>
      <c r="D17" s="5" t="s">
        <v>55</v>
      </c>
    </row>
    <row r="18" spans="1:4" ht="15.75" customHeight="1" x14ac:dyDescent="0.25">
      <c r="A18" s="1"/>
      <c r="B18" s="1" t="s">
        <v>286</v>
      </c>
      <c r="C18" s="1" t="s">
        <v>287</v>
      </c>
      <c r="D18" s="1" t="s">
        <v>288</v>
      </c>
    </row>
    <row r="19" spans="1:4" ht="15.75" customHeight="1" x14ac:dyDescent="0.25">
      <c r="A19" s="4"/>
      <c r="B19" s="4" t="s">
        <v>72</v>
      </c>
      <c r="C19" s="4"/>
      <c r="D19" s="5" t="s">
        <v>73</v>
      </c>
    </row>
    <row r="20" spans="1:4" ht="15.75" customHeight="1" x14ac:dyDescent="0.25">
      <c r="A20" s="4"/>
      <c r="B20" s="4" t="s">
        <v>119</v>
      </c>
      <c r="C20" s="4" t="s">
        <v>120</v>
      </c>
      <c r="D20" s="5" t="s">
        <v>121</v>
      </c>
    </row>
    <row r="21" spans="1:4" ht="15.75" customHeight="1" x14ac:dyDescent="0.25">
      <c r="A21" s="4"/>
      <c r="B21" s="4" t="s">
        <v>99</v>
      </c>
      <c r="C21" s="4" t="s">
        <v>100</v>
      </c>
      <c r="D21" s="5" t="s">
        <v>101</v>
      </c>
    </row>
    <row r="22" spans="1:4" ht="15.75" customHeight="1" x14ac:dyDescent="0.25">
      <c r="A22" s="1"/>
      <c r="B22" s="1" t="s">
        <v>177</v>
      </c>
      <c r="C22" s="1" t="s">
        <v>178</v>
      </c>
      <c r="D22" s="1" t="s">
        <v>178</v>
      </c>
    </row>
    <row r="23" spans="1:4" ht="15.75" customHeight="1" x14ac:dyDescent="0.25">
      <c r="A23" s="1" t="s">
        <v>141</v>
      </c>
      <c r="B23" s="1" t="s">
        <v>256</v>
      </c>
      <c r="C23" s="1" t="s">
        <v>254</v>
      </c>
      <c r="D23" s="1" t="s">
        <v>255</v>
      </c>
    </row>
    <row r="24" spans="1:4" ht="15.75" customHeight="1" x14ac:dyDescent="0.25">
      <c r="A24" s="1" t="s">
        <v>88</v>
      </c>
      <c r="B24" s="1" t="s">
        <v>308</v>
      </c>
      <c r="C24" s="1" t="s">
        <v>35</v>
      </c>
      <c r="D24" s="1" t="s">
        <v>212</v>
      </c>
    </row>
    <row r="25" spans="1:4" ht="15.75" customHeight="1" x14ac:dyDescent="0.25">
      <c r="A25" s="1" t="s">
        <v>159</v>
      </c>
      <c r="B25" s="1" t="s">
        <v>243</v>
      </c>
      <c r="C25" s="1" t="s">
        <v>244</v>
      </c>
      <c r="D25" s="1" t="s">
        <v>51</v>
      </c>
    </row>
    <row r="26" spans="1:4" ht="15.75" customHeight="1" x14ac:dyDescent="0.25">
      <c r="A26" s="1" t="s">
        <v>166</v>
      </c>
      <c r="B26" s="1" t="s">
        <v>237</v>
      </c>
      <c r="C26" s="1" t="s">
        <v>238</v>
      </c>
      <c r="D26" s="1" t="s">
        <v>239</v>
      </c>
    </row>
    <row r="27" spans="1:4" ht="15.75" customHeight="1" x14ac:dyDescent="0.25">
      <c r="A27" s="4">
        <v>0.04</v>
      </c>
      <c r="B27" s="4" t="s">
        <v>129</v>
      </c>
      <c r="C27" s="4" t="s">
        <v>130</v>
      </c>
      <c r="D27" s="5" t="s">
        <v>131</v>
      </c>
    </row>
    <row r="28" spans="1:4" ht="15.75" customHeight="1" x14ac:dyDescent="0.25">
      <c r="A28" s="1" t="s">
        <v>159</v>
      </c>
      <c r="B28" s="1" t="s">
        <v>179</v>
      </c>
      <c r="C28" s="1" t="s">
        <v>180</v>
      </c>
      <c r="D28" s="1" t="s">
        <v>181</v>
      </c>
    </row>
    <row r="29" spans="1:4" ht="15.75" customHeight="1" x14ac:dyDescent="0.25">
      <c r="A29" s="1" t="s">
        <v>141</v>
      </c>
      <c r="B29" s="1" t="s">
        <v>253</v>
      </c>
      <c r="C29" s="1" t="s">
        <v>254</v>
      </c>
      <c r="D29" s="1" t="s">
        <v>255</v>
      </c>
    </row>
    <row r="30" spans="1:4" ht="15.75" customHeight="1" x14ac:dyDescent="0.25">
      <c r="A30" s="1" t="s">
        <v>81</v>
      </c>
      <c r="B30" s="1" t="s">
        <v>284</v>
      </c>
      <c r="C30" s="1" t="s">
        <v>35</v>
      </c>
      <c r="D30" s="1" t="s">
        <v>51</v>
      </c>
    </row>
    <row r="31" spans="1:4" ht="15.75" customHeight="1" x14ac:dyDescent="0.25">
      <c r="A31" s="1" t="s">
        <v>259</v>
      </c>
      <c r="B31" s="1" t="s">
        <v>260</v>
      </c>
      <c r="C31" s="1" t="s">
        <v>150</v>
      </c>
      <c r="D31" s="1" t="s">
        <v>131</v>
      </c>
    </row>
    <row r="32" spans="1:4" ht="15.75" customHeight="1" x14ac:dyDescent="0.25">
      <c r="A32" s="1" t="s">
        <v>193</v>
      </c>
      <c r="B32" s="1" t="s">
        <v>274</v>
      </c>
      <c r="C32" s="1" t="s">
        <v>275</v>
      </c>
      <c r="D32" s="1" t="s">
        <v>276</v>
      </c>
    </row>
    <row r="33" spans="1:4" ht="15.75" customHeight="1" x14ac:dyDescent="0.25">
      <c r="A33" s="1" t="s">
        <v>282</v>
      </c>
      <c r="B33" s="1" t="s">
        <v>283</v>
      </c>
      <c r="C33" s="1" t="s">
        <v>35</v>
      </c>
      <c r="D33" s="1" t="s">
        <v>51</v>
      </c>
    </row>
    <row r="34" spans="1:4" ht="15.75" customHeight="1" x14ac:dyDescent="0.25">
      <c r="A34" s="1" t="s">
        <v>165</v>
      </c>
      <c r="B34" s="1" t="s">
        <v>324</v>
      </c>
      <c r="C34" s="1" t="s">
        <v>35</v>
      </c>
      <c r="D34" s="1" t="s">
        <v>51</v>
      </c>
    </row>
    <row r="35" spans="1:4" ht="15.75" customHeight="1" x14ac:dyDescent="0.25">
      <c r="A35" s="4">
        <v>0.08</v>
      </c>
      <c r="B35" s="4" t="s">
        <v>91</v>
      </c>
      <c r="C35" s="4" t="s">
        <v>92</v>
      </c>
      <c r="D35" s="5" t="s">
        <v>93</v>
      </c>
    </row>
    <row r="36" spans="1:4" ht="15.75" customHeight="1" x14ac:dyDescent="0.25">
      <c r="A36" s="4">
        <v>14</v>
      </c>
      <c r="B36" s="4" t="s">
        <v>47</v>
      </c>
      <c r="C36" s="4" t="s">
        <v>48</v>
      </c>
      <c r="D36" s="5" t="s">
        <v>47</v>
      </c>
    </row>
    <row r="37" spans="1:4" ht="15.75" customHeight="1" x14ac:dyDescent="0.25">
      <c r="A37" s="1" t="s">
        <v>160</v>
      </c>
      <c r="B37" s="1" t="s">
        <v>232</v>
      </c>
      <c r="C37" s="1" t="s">
        <v>150</v>
      </c>
      <c r="D37" s="1" t="s">
        <v>90</v>
      </c>
    </row>
    <row r="38" spans="1:4" ht="15.75" customHeight="1" x14ac:dyDescent="0.25">
      <c r="A38" s="1" t="s">
        <v>49</v>
      </c>
      <c r="B38" s="1" t="s">
        <v>213</v>
      </c>
      <c r="C38" s="1" t="s">
        <v>35</v>
      </c>
      <c r="D38" s="1" t="s">
        <v>51</v>
      </c>
    </row>
    <row r="39" spans="1:4" ht="15.75" customHeight="1" x14ac:dyDescent="0.25">
      <c r="A39" s="4" t="s">
        <v>49</v>
      </c>
      <c r="B39" s="4" t="s">
        <v>61</v>
      </c>
      <c r="C39" s="4" t="s">
        <v>35</v>
      </c>
      <c r="D39" s="5" t="s">
        <v>51</v>
      </c>
    </row>
    <row r="40" spans="1:4" ht="15.75" customHeight="1" x14ac:dyDescent="0.25">
      <c r="A40" s="4" t="s">
        <v>33</v>
      </c>
      <c r="B40" s="4" t="s">
        <v>155</v>
      </c>
      <c r="C40" s="4" t="s">
        <v>86</v>
      </c>
      <c r="D40" s="5" t="s">
        <v>51</v>
      </c>
    </row>
    <row r="41" spans="1:4" ht="15.75" customHeight="1" x14ac:dyDescent="0.25">
      <c r="A41" s="4" t="s">
        <v>49</v>
      </c>
      <c r="B41" s="4" t="s">
        <v>68</v>
      </c>
      <c r="C41" s="4" t="s">
        <v>35</v>
      </c>
      <c r="D41" s="5" t="s">
        <v>51</v>
      </c>
    </row>
    <row r="42" spans="1:4" ht="15.75" customHeight="1" x14ac:dyDescent="0.25">
      <c r="A42" s="4" t="s">
        <v>49</v>
      </c>
      <c r="B42" s="4" t="s">
        <v>98</v>
      </c>
      <c r="C42" s="4" t="s">
        <v>35</v>
      </c>
      <c r="D42" s="5" t="s">
        <v>51</v>
      </c>
    </row>
    <row r="43" spans="1:4" ht="15.75" customHeight="1" x14ac:dyDescent="0.25">
      <c r="A43" s="1" t="s">
        <v>33</v>
      </c>
      <c r="B43" s="1" t="s">
        <v>203</v>
      </c>
      <c r="C43" s="1" t="s">
        <v>204</v>
      </c>
      <c r="D43" s="1" t="s">
        <v>205</v>
      </c>
    </row>
    <row r="44" spans="1:4" ht="15.75" customHeight="1" x14ac:dyDescent="0.25">
      <c r="A44" s="4" t="s">
        <v>49</v>
      </c>
      <c r="B44" s="4" t="s">
        <v>56</v>
      </c>
      <c r="C44" s="4" t="s">
        <v>35</v>
      </c>
      <c r="D44" s="5" t="s">
        <v>51</v>
      </c>
    </row>
    <row r="45" spans="1:4" ht="15.75" customHeight="1" x14ac:dyDescent="0.25">
      <c r="A45" s="4" t="s">
        <v>49</v>
      </c>
      <c r="B45" s="4" t="s">
        <v>50</v>
      </c>
      <c r="C45" s="4" t="s">
        <v>35</v>
      </c>
      <c r="D45" s="5" t="s">
        <v>51</v>
      </c>
    </row>
    <row r="46" spans="1:4" ht="15.75" customHeight="1" x14ac:dyDescent="0.25">
      <c r="A46" s="4" t="s">
        <v>49</v>
      </c>
      <c r="B46" s="4" t="s">
        <v>52</v>
      </c>
      <c r="C46" s="4" t="s">
        <v>35</v>
      </c>
      <c r="D46" s="5" t="s">
        <v>51</v>
      </c>
    </row>
    <row r="47" spans="1:4" ht="15.75" customHeight="1" x14ac:dyDescent="0.25">
      <c r="A47" s="1" t="s">
        <v>49</v>
      </c>
      <c r="B47" s="1" t="s">
        <v>164</v>
      </c>
      <c r="C47" s="1" t="s">
        <v>35</v>
      </c>
      <c r="D47" s="1" t="s">
        <v>51</v>
      </c>
    </row>
    <row r="48" spans="1:4" ht="15.75" customHeight="1" x14ac:dyDescent="0.25">
      <c r="A48" s="1" t="s">
        <v>49</v>
      </c>
      <c r="B48" s="1" t="s">
        <v>240</v>
      </c>
      <c r="C48" s="1" t="s">
        <v>35</v>
      </c>
      <c r="D48" s="1" t="s">
        <v>51</v>
      </c>
    </row>
    <row r="49" spans="1:4" ht="15.75" customHeight="1" x14ac:dyDescent="0.25">
      <c r="A49" s="4" t="s">
        <v>49</v>
      </c>
      <c r="B49" s="4" t="s">
        <v>135</v>
      </c>
      <c r="C49" s="4" t="s">
        <v>35</v>
      </c>
      <c r="D49" s="5" t="s">
        <v>51</v>
      </c>
    </row>
    <row r="50" spans="1:4" ht="15.75" customHeight="1" x14ac:dyDescent="0.25">
      <c r="A50" s="1" t="s">
        <v>49</v>
      </c>
      <c r="B50" s="1" t="s">
        <v>233</v>
      </c>
      <c r="C50" s="1" t="s">
        <v>35</v>
      </c>
      <c r="D50" s="1" t="s">
        <v>51</v>
      </c>
    </row>
    <row r="51" spans="1:4" ht="15.75" customHeight="1" x14ac:dyDescent="0.25">
      <c r="A51" s="4" t="s">
        <v>49</v>
      </c>
      <c r="B51" s="4" t="s">
        <v>85</v>
      </c>
      <c r="C51" s="4" t="s">
        <v>86</v>
      </c>
      <c r="D51" s="5" t="s">
        <v>51</v>
      </c>
    </row>
    <row r="52" spans="1:4" ht="15.75" customHeight="1" x14ac:dyDescent="0.25">
      <c r="A52" s="4" t="s">
        <v>49</v>
      </c>
      <c r="B52" s="4" t="s">
        <v>57</v>
      </c>
      <c r="C52" s="4" t="s">
        <v>35</v>
      </c>
      <c r="D52" s="5" t="s">
        <v>51</v>
      </c>
    </row>
    <row r="53" spans="1:4" ht="15.75" customHeight="1" x14ac:dyDescent="0.25">
      <c r="A53" s="1" t="s">
        <v>49</v>
      </c>
      <c r="B53" s="1" t="s">
        <v>169</v>
      </c>
      <c r="C53" s="1" t="s">
        <v>48</v>
      </c>
      <c r="D53" s="1" t="s">
        <v>168</v>
      </c>
    </row>
    <row r="54" spans="1:4" ht="15.75" customHeight="1" x14ac:dyDescent="0.25">
      <c r="A54" s="1" t="s">
        <v>49</v>
      </c>
      <c r="B54" s="1" t="s">
        <v>183</v>
      </c>
      <c r="C54" s="1" t="s">
        <v>35</v>
      </c>
      <c r="D54" s="1" t="s">
        <v>51</v>
      </c>
    </row>
    <row r="55" spans="1:4" ht="15.75" customHeight="1" x14ac:dyDescent="0.25">
      <c r="A55" s="1" t="s">
        <v>24</v>
      </c>
      <c r="B55" s="1" t="s">
        <v>25</v>
      </c>
      <c r="C55" s="1" t="s">
        <v>26</v>
      </c>
      <c r="D55" s="1" t="s">
        <v>27</v>
      </c>
    </row>
    <row r="56" spans="1:4" ht="15.75" customHeight="1" x14ac:dyDescent="0.25">
      <c r="A56" s="4">
        <v>0.11</v>
      </c>
      <c r="B56" s="4" t="s">
        <v>112</v>
      </c>
      <c r="C56" s="4" t="s">
        <v>113</v>
      </c>
      <c r="D56" s="5" t="s">
        <v>112</v>
      </c>
    </row>
    <row r="57" spans="1:4" ht="15.75" customHeight="1" x14ac:dyDescent="0.25">
      <c r="A57" s="1" t="s">
        <v>58</v>
      </c>
      <c r="B57" s="1" t="s">
        <v>301</v>
      </c>
      <c r="C57" s="1" t="s">
        <v>35</v>
      </c>
      <c r="D57" s="1" t="s">
        <v>302</v>
      </c>
    </row>
    <row r="58" spans="1:4" ht="15.75" customHeight="1" x14ac:dyDescent="0.25">
      <c r="A58" s="1" t="s">
        <v>193</v>
      </c>
      <c r="B58" s="1" t="s">
        <v>211</v>
      </c>
      <c r="C58" s="1" t="s">
        <v>35</v>
      </c>
      <c r="D58" s="1" t="s">
        <v>212</v>
      </c>
    </row>
    <row r="59" spans="1:4" ht="15.75" customHeight="1" x14ac:dyDescent="0.25">
      <c r="A59" s="1" t="s">
        <v>182</v>
      </c>
      <c r="B59" s="1" t="s">
        <v>297</v>
      </c>
      <c r="C59" s="1" t="s">
        <v>191</v>
      </c>
      <c r="D59" s="1" t="s">
        <v>131</v>
      </c>
    </row>
    <row r="60" spans="1:4" ht="15.75" customHeight="1" x14ac:dyDescent="0.25">
      <c r="A60" s="4" t="s">
        <v>33</v>
      </c>
      <c r="B60" s="4" t="s">
        <v>96</v>
      </c>
      <c r="C60" s="4" t="s">
        <v>48</v>
      </c>
      <c r="D60" s="5" t="s">
        <v>97</v>
      </c>
    </row>
    <row r="61" spans="1:4" ht="15.75" customHeight="1" x14ac:dyDescent="0.25">
      <c r="A61" s="1" t="s">
        <v>166</v>
      </c>
      <c r="B61" s="1" t="s">
        <v>167</v>
      </c>
      <c r="C61" s="1" t="s">
        <v>162</v>
      </c>
      <c r="D61" s="1" t="s">
        <v>90</v>
      </c>
    </row>
    <row r="62" spans="1:4" ht="15.75" customHeight="1" x14ac:dyDescent="0.25">
      <c r="A62" s="1" t="s">
        <v>156</v>
      </c>
      <c r="B62" s="1" t="s">
        <v>157</v>
      </c>
      <c r="C62" s="1" t="s">
        <v>158</v>
      </c>
      <c r="D62" s="1" t="s">
        <v>90</v>
      </c>
    </row>
    <row r="63" spans="1:4" ht="15.75" customHeight="1" x14ac:dyDescent="0.25">
      <c r="A63" s="4" t="s">
        <v>33</v>
      </c>
      <c r="B63" s="4" t="s">
        <v>163</v>
      </c>
      <c r="C63" s="4" t="s">
        <v>35</v>
      </c>
      <c r="D63" s="5" t="s">
        <v>51</v>
      </c>
    </row>
    <row r="64" spans="1:4" ht="15.75" customHeight="1" x14ac:dyDescent="0.25">
      <c r="A64" s="4"/>
      <c r="B64" s="4" t="s">
        <v>109</v>
      </c>
      <c r="C64" s="4"/>
      <c r="D64" s="5" t="s">
        <v>110</v>
      </c>
    </row>
    <row r="65" spans="1:4" ht="15.75" customHeight="1" x14ac:dyDescent="0.25">
      <c r="A65" s="4"/>
      <c r="B65" s="4" t="s">
        <v>30</v>
      </c>
      <c r="C65" s="4" t="s">
        <v>31</v>
      </c>
      <c r="D65" s="5" t="s">
        <v>32</v>
      </c>
    </row>
    <row r="66" spans="1:4" ht="15.75" customHeight="1" x14ac:dyDescent="0.25">
      <c r="A66" s="8" t="s">
        <v>141</v>
      </c>
      <c r="B66" s="8" t="s">
        <v>142</v>
      </c>
      <c r="C66" s="8" t="s">
        <v>143</v>
      </c>
      <c r="D66" s="8" t="s">
        <v>144</v>
      </c>
    </row>
    <row r="67" spans="1:4" ht="15.75" customHeight="1" x14ac:dyDescent="0.25">
      <c r="A67" s="1" t="s">
        <v>321</v>
      </c>
      <c r="B67" s="1" t="s">
        <v>322</v>
      </c>
      <c r="C67" s="1" t="s">
        <v>38</v>
      </c>
      <c r="D67" s="1" t="s">
        <v>323</v>
      </c>
    </row>
    <row r="68" spans="1:4" ht="15.75" customHeight="1" x14ac:dyDescent="0.25">
      <c r="A68" s="4">
        <v>18</v>
      </c>
      <c r="B68" s="4" t="s">
        <v>148</v>
      </c>
      <c r="C68" s="4" t="s">
        <v>149</v>
      </c>
      <c r="D68" s="5" t="s">
        <v>148</v>
      </c>
    </row>
    <row r="69" spans="1:4" ht="15.75" customHeight="1" x14ac:dyDescent="0.25">
      <c r="A69" s="4" t="s">
        <v>49</v>
      </c>
      <c r="B69" s="4" t="s">
        <v>79</v>
      </c>
      <c r="C69" s="4" t="s">
        <v>35</v>
      </c>
      <c r="D69" s="5" t="s">
        <v>80</v>
      </c>
    </row>
    <row r="70" spans="1:4" ht="15.75" customHeight="1" x14ac:dyDescent="0.25">
      <c r="A70" s="1" t="s">
        <v>217</v>
      </c>
      <c r="B70" s="1" t="s">
        <v>218</v>
      </c>
      <c r="C70" s="1" t="s">
        <v>219</v>
      </c>
      <c r="D70" s="1" t="s">
        <v>220</v>
      </c>
    </row>
    <row r="71" spans="1:4" ht="15.75" customHeight="1" x14ac:dyDescent="0.25">
      <c r="A71" s="1" t="s">
        <v>184</v>
      </c>
      <c r="B71" s="1" t="s">
        <v>185</v>
      </c>
      <c r="C71" s="1" t="s">
        <v>35</v>
      </c>
      <c r="D71" s="1" t="s">
        <v>186</v>
      </c>
    </row>
    <row r="72" spans="1:4" ht="15.75" customHeight="1" x14ac:dyDescent="0.25">
      <c r="A72" s="1" t="s">
        <v>217</v>
      </c>
      <c r="B72" s="1" t="s">
        <v>55</v>
      </c>
      <c r="C72" s="1" t="s">
        <v>306</v>
      </c>
      <c r="D72" s="1" t="s">
        <v>55</v>
      </c>
    </row>
    <row r="73" spans="1:4" ht="15.75" customHeight="1" x14ac:dyDescent="0.25">
      <c r="A73" s="1"/>
      <c r="B73" s="1" t="s">
        <v>305</v>
      </c>
      <c r="C73" s="1" t="s">
        <v>264</v>
      </c>
      <c r="D73" s="1" t="s">
        <v>265</v>
      </c>
    </row>
    <row r="74" spans="1:4" ht="15.75" customHeight="1" x14ac:dyDescent="0.25">
      <c r="A74" s="6">
        <v>41410</v>
      </c>
      <c r="B74" s="4" t="s">
        <v>37</v>
      </c>
      <c r="C74" s="4" t="s">
        <v>38</v>
      </c>
      <c r="D74" s="5" t="s">
        <v>39</v>
      </c>
    </row>
    <row r="75" spans="1:4" ht="15.75" customHeight="1" x14ac:dyDescent="0.25">
      <c r="A75" s="1" t="s">
        <v>28</v>
      </c>
      <c r="B75" s="1" t="s">
        <v>314</v>
      </c>
      <c r="C75" s="1" t="s">
        <v>315</v>
      </c>
      <c r="D75" s="1" t="s">
        <v>229</v>
      </c>
    </row>
    <row r="76" spans="1:4" ht="15.75" customHeight="1" x14ac:dyDescent="0.25">
      <c r="A76" s="1" t="s">
        <v>270</v>
      </c>
      <c r="B76" s="1" t="s">
        <v>271</v>
      </c>
      <c r="C76" s="1" t="s">
        <v>128</v>
      </c>
      <c r="D76" s="1" t="s">
        <v>214</v>
      </c>
    </row>
    <row r="77" spans="1:4" ht="15.75" customHeight="1" x14ac:dyDescent="0.25">
      <c r="A77" s="1" t="s">
        <v>160</v>
      </c>
      <c r="B77" s="1" t="s">
        <v>300</v>
      </c>
      <c r="C77" s="1" t="s">
        <v>111</v>
      </c>
      <c r="D77" s="1" t="s">
        <v>272</v>
      </c>
    </row>
    <row r="78" spans="1:4" ht="15.75" customHeight="1" x14ac:dyDescent="0.25">
      <c r="A78" s="1"/>
      <c r="B78" s="1" t="s">
        <v>298</v>
      </c>
      <c r="C78" s="1" t="s">
        <v>299</v>
      </c>
      <c r="D78" s="1" t="s">
        <v>51</v>
      </c>
    </row>
    <row r="79" spans="1:4" ht="15.75" customHeight="1" x14ac:dyDescent="0.25">
      <c r="A79" s="1" t="s">
        <v>166</v>
      </c>
      <c r="B79" s="1" t="s">
        <v>277</v>
      </c>
      <c r="C79" s="1" t="s">
        <v>278</v>
      </c>
      <c r="D79" s="1" t="s">
        <v>276</v>
      </c>
    </row>
    <row r="80" spans="1:4" ht="15.75" customHeight="1" x14ac:dyDescent="0.25">
      <c r="A80" s="4" t="s">
        <v>74</v>
      </c>
      <c r="B80" s="4" t="s">
        <v>75</v>
      </c>
      <c r="C80" s="4" t="s">
        <v>35</v>
      </c>
      <c r="D80" s="5" t="s">
        <v>51</v>
      </c>
    </row>
    <row r="81" spans="1:4" ht="15.75" customHeight="1" x14ac:dyDescent="0.25">
      <c r="A81" s="1" t="s">
        <v>160</v>
      </c>
      <c r="B81" s="1" t="s">
        <v>187</v>
      </c>
      <c r="C81" s="1" t="s">
        <v>188</v>
      </c>
      <c r="D81" s="1" t="s">
        <v>189</v>
      </c>
    </row>
    <row r="82" spans="1:4" ht="15.75" customHeight="1" x14ac:dyDescent="0.25">
      <c r="A82" s="9">
        <v>3.2000000000000001E-2</v>
      </c>
      <c r="B82" s="8" t="s">
        <v>145</v>
      </c>
      <c r="C82" s="8" t="s">
        <v>146</v>
      </c>
      <c r="D82" s="8" t="s">
        <v>147</v>
      </c>
    </row>
    <row r="83" spans="1:4" ht="15.75" customHeight="1" x14ac:dyDescent="0.25">
      <c r="A83" s="1" t="s">
        <v>160</v>
      </c>
      <c r="B83" s="1" t="s">
        <v>196</v>
      </c>
      <c r="C83" s="1" t="s">
        <v>162</v>
      </c>
      <c r="D83" s="1" t="s">
        <v>197</v>
      </c>
    </row>
    <row r="84" spans="1:4" ht="15.75" customHeight="1" x14ac:dyDescent="0.25">
      <c r="A84" s="4"/>
      <c r="B84" s="4" t="s">
        <v>62</v>
      </c>
      <c r="C84" s="4" t="s">
        <v>63</v>
      </c>
      <c r="D84" s="5" t="s">
        <v>64</v>
      </c>
    </row>
    <row r="85" spans="1:4" ht="15.75" customHeight="1" x14ac:dyDescent="0.25">
      <c r="A85" s="4">
        <v>0.125</v>
      </c>
      <c r="B85" s="4" t="s">
        <v>40</v>
      </c>
      <c r="C85" s="4" t="s">
        <v>41</v>
      </c>
      <c r="D85" s="5" t="s">
        <v>42</v>
      </c>
    </row>
    <row r="86" spans="1:4" ht="15.75" customHeight="1" x14ac:dyDescent="0.25">
      <c r="A86" s="4" t="s">
        <v>69</v>
      </c>
      <c r="B86" s="4" t="s">
        <v>70</v>
      </c>
      <c r="C86" s="4" t="s">
        <v>35</v>
      </c>
      <c r="D86" s="5" t="s">
        <v>71</v>
      </c>
    </row>
    <row r="87" spans="1:4" ht="15.75" customHeight="1" x14ac:dyDescent="0.25">
      <c r="A87" s="1" t="s">
        <v>165</v>
      </c>
      <c r="B87" s="1" t="s">
        <v>192</v>
      </c>
      <c r="C87" s="1" t="s">
        <v>35</v>
      </c>
      <c r="D87" s="1" t="s">
        <v>51</v>
      </c>
    </row>
    <row r="88" spans="1:4" ht="15.75" customHeight="1" x14ac:dyDescent="0.25">
      <c r="A88" s="1"/>
      <c r="B88" s="1" t="s">
        <v>292</v>
      </c>
      <c r="C88" s="1" t="s">
        <v>293</v>
      </c>
      <c r="D88" s="1" t="s">
        <v>294</v>
      </c>
    </row>
    <row r="89" spans="1:4" ht="15.75" customHeight="1" x14ac:dyDescent="0.25">
      <c r="A89" s="4" t="s">
        <v>88</v>
      </c>
      <c r="B89" s="4" t="s">
        <v>114</v>
      </c>
      <c r="C89" s="4" t="s">
        <v>115</v>
      </c>
      <c r="D89" s="5" t="s">
        <v>116</v>
      </c>
    </row>
    <row r="90" spans="1:4" ht="15.75" customHeight="1" x14ac:dyDescent="0.25">
      <c r="A90" s="1" t="s">
        <v>160</v>
      </c>
      <c r="B90" s="1" t="s">
        <v>273</v>
      </c>
      <c r="C90" s="1" t="s">
        <v>246</v>
      </c>
      <c r="D90" s="1" t="s">
        <v>229</v>
      </c>
    </row>
    <row r="91" spans="1:4" ht="15.75" customHeight="1" x14ac:dyDescent="0.25">
      <c r="A91" s="4" t="s">
        <v>173</v>
      </c>
      <c r="B91" s="4" t="s">
        <v>174</v>
      </c>
      <c r="C91" s="4" t="s">
        <v>175</v>
      </c>
      <c r="D91" s="5" t="s">
        <v>176</v>
      </c>
    </row>
    <row r="92" spans="1:4" ht="15.75" customHeight="1" x14ac:dyDescent="0.25">
      <c r="A92" s="1"/>
      <c r="B92" s="1" t="s">
        <v>250</v>
      </c>
      <c r="C92" s="1" t="s">
        <v>251</v>
      </c>
      <c r="D92" s="1" t="s">
        <v>252</v>
      </c>
    </row>
    <row r="93" spans="1:4" ht="15.75" customHeight="1" x14ac:dyDescent="0.25">
      <c r="A93" s="4">
        <v>24</v>
      </c>
      <c r="B93" s="4" t="s">
        <v>102</v>
      </c>
      <c r="C93" s="4" t="s">
        <v>103</v>
      </c>
      <c r="D93" s="5" t="s">
        <v>104</v>
      </c>
    </row>
    <row r="94" spans="1:4" ht="15.75" customHeight="1" x14ac:dyDescent="0.25">
      <c r="A94" s="1" t="s">
        <v>141</v>
      </c>
      <c r="B94" s="1" t="s">
        <v>263</v>
      </c>
      <c r="C94" s="1" t="s">
        <v>264</v>
      </c>
      <c r="D94" s="1" t="s">
        <v>265</v>
      </c>
    </row>
    <row r="95" spans="1:4" ht="15.75" customHeight="1" x14ac:dyDescent="0.25">
      <c r="A95" s="1"/>
      <c r="B95" s="1" t="s">
        <v>312</v>
      </c>
      <c r="C95" s="1" t="s">
        <v>115</v>
      </c>
      <c r="D95" s="1" t="s">
        <v>313</v>
      </c>
    </row>
    <row r="96" spans="1:4" ht="15.75" customHeight="1" x14ac:dyDescent="0.25">
      <c r="A96" s="1" t="s">
        <v>190</v>
      </c>
      <c r="B96" s="1" t="s">
        <v>215</v>
      </c>
      <c r="C96" s="1" t="s">
        <v>216</v>
      </c>
      <c r="D96" s="1" t="s">
        <v>176</v>
      </c>
    </row>
    <row r="97" spans="1:4" ht="15.75" customHeight="1" x14ac:dyDescent="0.25">
      <c r="A97" s="4" t="s">
        <v>49</v>
      </c>
      <c r="B97" s="4" t="s">
        <v>117</v>
      </c>
      <c r="C97" s="4" t="s">
        <v>35</v>
      </c>
      <c r="D97" s="5" t="s">
        <v>118</v>
      </c>
    </row>
    <row r="98" spans="1:4" ht="15.75" customHeight="1" x14ac:dyDescent="0.25">
      <c r="A98" s="1" t="s">
        <v>87</v>
      </c>
      <c r="B98" s="1" t="s">
        <v>201</v>
      </c>
      <c r="C98" s="1" t="s">
        <v>132</v>
      </c>
      <c r="D98" s="1" t="s">
        <v>202</v>
      </c>
    </row>
    <row r="99" spans="1:4" ht="15.75" customHeight="1" x14ac:dyDescent="0.25">
      <c r="A99" s="1" t="s">
        <v>159</v>
      </c>
      <c r="B99" s="1" t="s">
        <v>267</v>
      </c>
      <c r="C99" s="1" t="s">
        <v>268</v>
      </c>
      <c r="D99" s="1" t="s">
        <v>268</v>
      </c>
    </row>
    <row r="100" spans="1:4" ht="15.75" customHeight="1" x14ac:dyDescent="0.25">
      <c r="A100" s="1" t="s">
        <v>122</v>
      </c>
      <c r="B100" s="1" t="s">
        <v>123</v>
      </c>
      <c r="C100" s="1" t="s">
        <v>124</v>
      </c>
      <c r="D100" s="7" t="s">
        <v>125</v>
      </c>
    </row>
    <row r="101" spans="1:4" ht="15.75" customHeight="1" x14ac:dyDescent="0.25">
      <c r="A101" s="1" t="s">
        <v>227</v>
      </c>
      <c r="B101" s="1" t="s">
        <v>228</v>
      </c>
      <c r="C101" s="1" t="s">
        <v>38</v>
      </c>
      <c r="D101" s="1" t="s">
        <v>229</v>
      </c>
    </row>
    <row r="102" spans="1:4" ht="15.75" customHeight="1" x14ac:dyDescent="0.25">
      <c r="A102" s="1" t="s">
        <v>160</v>
      </c>
      <c r="B102" s="1" t="s">
        <v>161</v>
      </c>
      <c r="C102" s="1" t="s">
        <v>162</v>
      </c>
      <c r="D102" s="1" t="s">
        <v>90</v>
      </c>
    </row>
    <row r="103" spans="1:4" ht="15.75" customHeight="1" x14ac:dyDescent="0.25">
      <c r="A103" s="1" t="s">
        <v>156</v>
      </c>
      <c r="B103" s="1" t="s">
        <v>307</v>
      </c>
      <c r="C103" s="1" t="s">
        <v>35</v>
      </c>
      <c r="D103" s="1" t="s">
        <v>212</v>
      </c>
    </row>
    <row r="104" spans="1:4" ht="15.75" customHeight="1" x14ac:dyDescent="0.25">
      <c r="A104" s="1" t="s">
        <v>193</v>
      </c>
      <c r="B104" s="1" t="s">
        <v>194</v>
      </c>
      <c r="C104" s="1" t="s">
        <v>35</v>
      </c>
      <c r="D104" s="1" t="s">
        <v>195</v>
      </c>
    </row>
    <row r="105" spans="1:4" ht="15.75" customHeight="1" x14ac:dyDescent="0.25">
      <c r="A105" s="1" t="s">
        <v>49</v>
      </c>
      <c r="B105" s="1" t="s">
        <v>241</v>
      </c>
      <c r="C105" s="1" t="s">
        <v>242</v>
      </c>
      <c r="D105" s="1" t="s">
        <v>51</v>
      </c>
    </row>
    <row r="106" spans="1:4" ht="15.75" customHeight="1" x14ac:dyDescent="0.25">
      <c r="A106" s="1"/>
      <c r="B106" s="1" t="s">
        <v>257</v>
      </c>
      <c r="C106" s="1" t="s">
        <v>48</v>
      </c>
      <c r="D106" s="1" t="s">
        <v>258</v>
      </c>
    </row>
    <row r="107" spans="1:4" ht="15.75" customHeight="1" x14ac:dyDescent="0.25">
      <c r="A107" s="4">
        <v>0.04</v>
      </c>
      <c r="B107" s="4" t="s">
        <v>140</v>
      </c>
      <c r="C107" s="4" t="s">
        <v>35</v>
      </c>
      <c r="D107" s="5" t="s">
        <v>51</v>
      </c>
    </row>
    <row r="108" spans="1:4" ht="15.75" customHeight="1" x14ac:dyDescent="0.25">
      <c r="A108" s="1" t="s">
        <v>259</v>
      </c>
      <c r="B108" s="1" t="s">
        <v>291</v>
      </c>
      <c r="C108" s="1" t="s">
        <v>150</v>
      </c>
      <c r="D108" s="1" t="s">
        <v>197</v>
      </c>
    </row>
    <row r="109" spans="1:4" ht="15.75" customHeight="1" x14ac:dyDescent="0.25">
      <c r="A109" s="4">
        <v>11</v>
      </c>
      <c r="B109" s="4" t="s">
        <v>45</v>
      </c>
      <c r="C109" s="4" t="s">
        <v>46</v>
      </c>
      <c r="D109" s="5" t="s">
        <v>36</v>
      </c>
    </row>
    <row r="110" spans="1:4" ht="15.75" customHeight="1" x14ac:dyDescent="0.25">
      <c r="A110" s="1" t="s">
        <v>221</v>
      </c>
      <c r="B110" s="1" t="s">
        <v>222</v>
      </c>
      <c r="C110" s="1" t="s">
        <v>223</v>
      </c>
      <c r="D110" s="1" t="s">
        <v>224</v>
      </c>
    </row>
    <row r="111" spans="1:4" ht="15.75" customHeight="1" x14ac:dyDescent="0.25">
      <c r="A111" s="1" t="s">
        <v>53</v>
      </c>
      <c r="B111" s="1" t="s">
        <v>295</v>
      </c>
      <c r="C111" s="1" t="s">
        <v>48</v>
      </c>
      <c r="D111" s="1" t="s">
        <v>296</v>
      </c>
    </row>
    <row r="112" spans="1:4" ht="15.75" customHeight="1" x14ac:dyDescent="0.25">
      <c r="A112" s="1" t="s">
        <v>310</v>
      </c>
      <c r="B112" s="1" t="s">
        <v>311</v>
      </c>
      <c r="C112" s="1" t="s">
        <v>246</v>
      </c>
      <c r="D112" s="1" t="s">
        <v>51</v>
      </c>
    </row>
    <row r="113" spans="1:4" ht="15.75" customHeight="1" x14ac:dyDescent="0.25">
      <c r="A113" s="1" t="s">
        <v>156</v>
      </c>
      <c r="B113" s="1" t="s">
        <v>319</v>
      </c>
      <c r="C113" s="1" t="s">
        <v>35</v>
      </c>
      <c r="D113" s="1" t="s">
        <v>320</v>
      </c>
    </row>
    <row r="114" spans="1:4" ht="15.75" customHeight="1" x14ac:dyDescent="0.25">
      <c r="A114" s="1" t="s">
        <v>160</v>
      </c>
      <c r="B114" s="1" t="s">
        <v>266</v>
      </c>
      <c r="C114" s="1" t="s">
        <v>35</v>
      </c>
      <c r="D114" s="1" t="s">
        <v>51</v>
      </c>
    </row>
    <row r="115" spans="1:4" ht="15.75" customHeight="1" x14ac:dyDescent="0.25">
      <c r="A115" s="1" t="s">
        <v>141</v>
      </c>
      <c r="B115" s="1" t="s">
        <v>289</v>
      </c>
      <c r="C115" s="1" t="s">
        <v>290</v>
      </c>
      <c r="D115" s="1" t="s">
        <v>255</v>
      </c>
    </row>
    <row r="116" spans="1:4" ht="15.75" customHeight="1" x14ac:dyDescent="0.25">
      <c r="A116" s="1" t="s">
        <v>160</v>
      </c>
      <c r="B116" s="1" t="s">
        <v>225</v>
      </c>
      <c r="C116" s="1" t="s">
        <v>226</v>
      </c>
      <c r="D116" s="1"/>
    </row>
    <row r="117" spans="1:4" ht="15.75" customHeight="1" x14ac:dyDescent="0.25">
      <c r="A117" s="4"/>
      <c r="B117" s="4" t="s">
        <v>59</v>
      </c>
      <c r="C117" s="4" t="s">
        <v>31</v>
      </c>
      <c r="D117" s="5" t="s">
        <v>60</v>
      </c>
    </row>
    <row r="118" spans="1:4" ht="15.75" customHeight="1" x14ac:dyDescent="0.25">
      <c r="A118" s="1" t="s">
        <v>160</v>
      </c>
      <c r="B118" s="1" t="s">
        <v>262</v>
      </c>
      <c r="C118" s="1" t="s">
        <v>261</v>
      </c>
      <c r="D118" s="1" t="s">
        <v>249</v>
      </c>
    </row>
    <row r="119" spans="1:4" ht="15.75" customHeight="1" x14ac:dyDescent="0.25">
      <c r="A119" s="1" t="s">
        <v>198</v>
      </c>
      <c r="B119" s="1" t="s">
        <v>199</v>
      </c>
      <c r="C119" s="1" t="s">
        <v>200</v>
      </c>
      <c r="D119" s="1" t="s">
        <v>90</v>
      </c>
    </row>
    <row r="120" spans="1:4" ht="15.75" customHeight="1" x14ac:dyDescent="0.25">
      <c r="A120" s="1" t="s">
        <v>160</v>
      </c>
      <c r="B120" s="1" t="s">
        <v>247</v>
      </c>
      <c r="C120" s="1" t="s">
        <v>35</v>
      </c>
      <c r="D120" s="1" t="s">
        <v>51</v>
      </c>
    </row>
    <row r="121" spans="1:4" ht="15.75" customHeight="1" x14ac:dyDescent="0.25">
      <c r="A121" s="4"/>
      <c r="B121" s="4" t="s">
        <v>127</v>
      </c>
      <c r="C121" s="4" t="s">
        <v>128</v>
      </c>
      <c r="D121" s="5" t="s">
        <v>60</v>
      </c>
    </row>
    <row r="122" spans="1:4" ht="15.75" customHeight="1" x14ac:dyDescent="0.25">
      <c r="A122" s="1" t="s">
        <v>138</v>
      </c>
      <c r="B122" s="1" t="s">
        <v>231</v>
      </c>
      <c r="C122" s="1" t="s">
        <v>35</v>
      </c>
      <c r="D122" s="1" t="s">
        <v>51</v>
      </c>
    </row>
    <row r="123" spans="1:4" ht="15.75" customHeight="1" x14ac:dyDescent="0.25">
      <c r="A123" s="1" t="s">
        <v>49</v>
      </c>
      <c r="B123" s="1" t="s">
        <v>269</v>
      </c>
      <c r="C123" s="1" t="s">
        <v>35</v>
      </c>
      <c r="D123" s="1" t="s">
        <v>51</v>
      </c>
    </row>
    <row r="124" spans="1:4" ht="15.75" customHeight="1" x14ac:dyDescent="0.25">
      <c r="A124" s="4" t="s">
        <v>88</v>
      </c>
      <c r="B124" s="4" t="s">
        <v>89</v>
      </c>
      <c r="C124" s="4" t="s">
        <v>35</v>
      </c>
      <c r="D124" s="5" t="s">
        <v>90</v>
      </c>
    </row>
    <row r="125" spans="1:4" ht="15.75" customHeight="1" x14ac:dyDescent="0.25">
      <c r="A125" s="1" t="s">
        <v>138</v>
      </c>
      <c r="B125" s="1" t="s">
        <v>172</v>
      </c>
      <c r="C125" s="1" t="s">
        <v>35</v>
      </c>
      <c r="D125" s="1" t="s">
        <v>51</v>
      </c>
    </row>
    <row r="126" spans="1:4" ht="15.75" customHeight="1" x14ac:dyDescent="0.25">
      <c r="A126" s="1" t="s">
        <v>309</v>
      </c>
      <c r="B126" s="1" t="s">
        <v>316</v>
      </c>
      <c r="C126" s="1" t="s">
        <v>317</v>
      </c>
      <c r="D126" s="1" t="s">
        <v>318</v>
      </c>
    </row>
    <row r="127" spans="1:4" ht="15.75" customHeight="1" x14ac:dyDescent="0.25">
      <c r="A127" s="1" t="s">
        <v>160</v>
      </c>
      <c r="B127" s="1" t="s">
        <v>285</v>
      </c>
      <c r="C127" s="1" t="s">
        <v>35</v>
      </c>
      <c r="D127" s="1" t="s">
        <v>212</v>
      </c>
    </row>
    <row r="128" spans="1:4" ht="15.75" customHeight="1" x14ac:dyDescent="0.25">
      <c r="A128" s="4">
        <v>0.05</v>
      </c>
      <c r="B128" s="4" t="s">
        <v>43</v>
      </c>
      <c r="C128" s="4" t="s">
        <v>35</v>
      </c>
      <c r="D128" s="5" t="s">
        <v>44</v>
      </c>
    </row>
    <row r="129" spans="1:4" ht="15.75" customHeight="1" x14ac:dyDescent="0.25">
      <c r="A129" s="4">
        <v>22</v>
      </c>
      <c r="B129" s="4" t="s">
        <v>153</v>
      </c>
      <c r="C129" s="4" t="s">
        <v>154</v>
      </c>
      <c r="D129" s="5" t="s">
        <v>90</v>
      </c>
    </row>
    <row r="130" spans="1:4" ht="15.75" customHeight="1" x14ac:dyDescent="0.25">
      <c r="A130" s="1" t="s">
        <v>156</v>
      </c>
      <c r="B130" s="1" t="s">
        <v>234</v>
      </c>
      <c r="C130" s="1" t="s">
        <v>235</v>
      </c>
      <c r="D130" s="1" t="s">
        <v>236</v>
      </c>
    </row>
    <row r="131" spans="1:4" ht="15.75" customHeight="1" x14ac:dyDescent="0.25">
      <c r="A131" s="1" t="s">
        <v>156</v>
      </c>
      <c r="B131" s="1" t="s">
        <v>230</v>
      </c>
      <c r="C131" s="1" t="s">
        <v>35</v>
      </c>
      <c r="D131" s="1" t="s">
        <v>90</v>
      </c>
    </row>
    <row r="132" spans="1:4" ht="15.75" customHeight="1" x14ac:dyDescent="0.25">
      <c r="A132" s="1" t="s">
        <v>49</v>
      </c>
      <c r="B132" s="1" t="s">
        <v>206</v>
      </c>
      <c r="C132" s="1" t="s">
        <v>48</v>
      </c>
      <c r="D132" s="1" t="s">
        <v>207</v>
      </c>
    </row>
    <row r="133" spans="1:4" ht="15.75" customHeight="1" x14ac:dyDescent="0.25">
      <c r="A133" s="1" t="s">
        <v>184</v>
      </c>
      <c r="B133" s="1" t="s">
        <v>303</v>
      </c>
      <c r="C133" s="1" t="s">
        <v>304</v>
      </c>
      <c r="D133" s="1" t="s">
        <v>248</v>
      </c>
    </row>
    <row r="134" spans="1:4" ht="15.75" customHeight="1" x14ac:dyDescent="0.25">
      <c r="A134" s="4"/>
      <c r="B134" s="4" t="s">
        <v>65</v>
      </c>
      <c r="C134" s="4" t="s">
        <v>66</v>
      </c>
      <c r="D134" s="5" t="s">
        <v>67</v>
      </c>
    </row>
    <row r="135" spans="1:4" ht="15.75" customHeight="1" x14ac:dyDescent="0.25">
      <c r="A135" s="2" t="s">
        <v>28</v>
      </c>
      <c r="B135" s="2"/>
      <c r="C135" s="2" t="s">
        <v>26</v>
      </c>
      <c r="D135" s="3" t="s">
        <v>29</v>
      </c>
    </row>
  </sheetData>
  <autoFilter ref="A1:D135">
    <sortState ref="A2:D135">
      <sortCondition ref="B1"/>
    </sortState>
  </autoFilter>
  <conditionalFormatting sqref="A92:D94 A96:D102 A104:D112 A115:D135 A3:D89">
    <cfRule type="expression" dxfId="3" priority="17">
      <formula>$N3&gt;0</formula>
    </cfRule>
  </conditionalFormatting>
  <conditionalFormatting sqref="A90:D91">
    <cfRule type="expression" dxfId="2" priority="16">
      <formula>$N90&gt;0</formula>
    </cfRule>
  </conditionalFormatting>
  <conditionalFormatting sqref="A95:D95">
    <cfRule type="expression" dxfId="1" priority="15">
      <formula>$N95&gt;0</formula>
    </cfRule>
  </conditionalFormatting>
  <conditionalFormatting sqref="A103:D103">
    <cfRule type="expression" dxfId="0" priority="14">
      <formula>$N103&gt;0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5" sqref="E5"/>
    </sheetView>
  </sheetViews>
  <sheetFormatPr defaultRowHeight="15" x14ac:dyDescent="0.25"/>
  <cols>
    <col min="1" max="1" width="14.7109375" bestFit="1" customWidth="1"/>
    <col min="2" max="2" width="7.140625" bestFit="1" customWidth="1"/>
    <col min="3" max="3" width="10.7109375" bestFit="1" customWidth="1"/>
    <col min="4" max="4" width="7" bestFit="1" customWidth="1"/>
    <col min="5" max="5" width="9.85546875" bestFit="1" customWidth="1"/>
    <col min="6" max="6" width="4.5703125" bestFit="1" customWidth="1"/>
  </cols>
  <sheetData>
    <row r="1" spans="1:6" x14ac:dyDescent="0.25">
      <c r="A1" t="s">
        <v>328</v>
      </c>
      <c r="B1" t="s">
        <v>325</v>
      </c>
      <c r="C1" t="s">
        <v>329</v>
      </c>
      <c r="D1" t="s">
        <v>330</v>
      </c>
      <c r="E1" t="s">
        <v>326</v>
      </c>
      <c r="F1" t="s">
        <v>327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Sheet1</vt:lpstr>
      <vt:lpstr>Sheet2</vt:lpstr>
      <vt:lpstr>Sheet3</vt:lpstr>
      <vt:lpstr>ATTN</vt:lpstr>
      <vt:lpstr>DATE</vt:lpstr>
      <vt:lpstr>DATEDELIVERY</vt:lpstr>
      <vt:lpstr>DATEREQ</vt:lpstr>
      <vt:lpstr>DECRIPTION2</vt:lpstr>
      <vt:lpstr>DESCRIPTION1</vt:lpstr>
      <vt:lpstr>DESCRIPTION2</vt:lpstr>
      <vt:lpstr>DESCRIPTION3</vt:lpstr>
      <vt:lpstr>DESCRIPTION4</vt:lpstr>
      <vt:lpstr>DESCRIPTION5</vt:lpstr>
      <vt:lpstr>DESCRIPTION6</vt:lpstr>
      <vt:lpstr>DESCRIPTION7</vt:lpstr>
      <vt:lpstr>FAX</vt:lpstr>
      <vt:lpstr>MATERIAL1</vt:lpstr>
      <vt:lpstr>MATERIAL2</vt:lpstr>
      <vt:lpstr>MATERIAL3</vt:lpstr>
      <vt:lpstr>MATERIAL4</vt:lpstr>
      <vt:lpstr>MATERIAL5</vt:lpstr>
      <vt:lpstr>MATERIAL6</vt:lpstr>
      <vt:lpstr>MATERIAL7</vt:lpstr>
      <vt:lpstr>ORDER_BY</vt:lpstr>
      <vt:lpstr>PONUM</vt:lpstr>
      <vt:lpstr>Sheet1!Print_Area</vt:lpstr>
      <vt:lpstr>PROJECT</vt:lpstr>
      <vt:lpstr>PROJECTNUMBER</vt:lpstr>
      <vt:lpstr>PURCHASING</vt:lpstr>
      <vt:lpstr>QUANT1</vt:lpstr>
      <vt:lpstr>QUANT2</vt:lpstr>
      <vt:lpstr>QUANT3</vt:lpstr>
      <vt:lpstr>QUANT4</vt:lpstr>
      <vt:lpstr>QUANT5</vt:lpstr>
      <vt:lpstr>QUANT6</vt:lpstr>
      <vt:lpstr>QUANT7</vt:lpstr>
      <vt:lpstr>SHIPTO</vt:lpstr>
      <vt:lpstr>SHIPTOADD1</vt:lpstr>
      <vt:lpstr>SHIPTOADD2</vt:lpstr>
      <vt:lpstr>SHIPVIA</vt:lpstr>
      <vt:lpstr>STCOK2</vt:lpstr>
      <vt:lpstr>STOCK1</vt:lpstr>
      <vt:lpstr>STOCK3</vt:lpstr>
      <vt:lpstr>STOCK4</vt:lpstr>
      <vt:lpstr>STOCK5</vt:lpstr>
      <vt:lpstr>STOCK6</vt:lpstr>
      <vt:lpstr>STOCK7</vt:lpstr>
      <vt:lpstr>TO</vt:lpstr>
      <vt:lpstr>TOTAL1</vt:lpstr>
      <vt:lpstr>TOTAL2</vt:lpstr>
      <vt:lpstr>TOTAL3</vt:lpstr>
      <vt:lpstr>TOTAL4</vt:lpstr>
      <vt:lpstr>TOTAL5</vt:lpstr>
      <vt:lpstr>TOTAL6</vt:lpstr>
      <vt:lpstr>TOTAL7</vt:lpstr>
      <vt:lpstr>UNIT1</vt:lpstr>
      <vt:lpstr>UNIT2</vt:lpstr>
      <vt:lpstr>UNIT3</vt:lpstr>
      <vt:lpstr>UNIT4</vt:lpstr>
      <vt:lpstr>UNIT5</vt:lpstr>
      <vt:lpstr>UNIT6</vt:lpstr>
      <vt:lpstr>UNIT7</vt:lpstr>
      <vt:lpstr>VENDOR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2015-04-09T18:24:45Z</cp:lastPrinted>
  <dcterms:created xsi:type="dcterms:W3CDTF">2015-04-07T18:09:51Z</dcterms:created>
  <dcterms:modified xsi:type="dcterms:W3CDTF">2015-04-15T18:07:00Z</dcterms:modified>
</cp:coreProperties>
</file>