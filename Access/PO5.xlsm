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27795" windowHeight="12285"/>
  </bookViews>
  <sheets>
    <sheet name="Sheet1" sheetId="7" r:id="rId1"/>
    <sheet name="Vendors" sheetId="2" r:id="rId2"/>
    <sheet name="Materials" sheetId="3" state="hidden" r:id="rId3"/>
    <sheet name="Colors" sheetId="4" state="hidden" r:id="rId4"/>
    <sheet name="Thickness" sheetId="5" state="hidden" r:id="rId5"/>
    <sheet name="Inventory" sheetId="6" r:id="rId6"/>
    <sheet name="data" sheetId="8" state="hidden" r:id="rId7"/>
  </sheets>
  <definedNames>
    <definedName name="ATTN">#REF!</definedName>
    <definedName name="ATTNCELL">Sheet1!$F$5</definedName>
    <definedName name="CATLIST">#REF!</definedName>
    <definedName name="COLOR1">#REF!</definedName>
    <definedName name="COLOR10">#REF!</definedName>
    <definedName name="COLOR11">#REF!</definedName>
    <definedName name="COLOR2">#REF!</definedName>
    <definedName name="COLOR3">#REF!</definedName>
    <definedName name="COLOR4">#REF!</definedName>
    <definedName name="COLOR5">#REF!</definedName>
    <definedName name="COLOR6">#REF!</definedName>
    <definedName name="COLOR7">#REF!</definedName>
    <definedName name="COLOR8">#REF!</definedName>
    <definedName name="COLOR9">#REF!</definedName>
    <definedName name="DATE">#REF!</definedName>
    <definedName name="DATECELL">Sheet1!$F$7</definedName>
    <definedName name="DATEDELIVERY">#REF!</definedName>
    <definedName name="DATEREQ">#REF!</definedName>
    <definedName name="DECRIPTION2">#REF!</definedName>
    <definedName name="DESCRIPTION1">#REF!</definedName>
    <definedName name="DESCRIPTION10">#REF!</definedName>
    <definedName name="DESCRIPTION11">#REF!</definedName>
    <definedName name="DESCRIPTION2">#REF!</definedName>
    <definedName name="DESCRIPTION3">#REF!</definedName>
    <definedName name="DESCRIPTION4">#REF!</definedName>
    <definedName name="DESCRIPTION5">#REF!</definedName>
    <definedName name="DESCRIPTION6">#REF!</definedName>
    <definedName name="DESCRIPTION7">#REF!</definedName>
    <definedName name="DESCRIPTION8">#REF!</definedName>
    <definedName name="DESCRIPTION9">#REF!</definedName>
    <definedName name="DesignationCombo">#REF!</definedName>
    <definedName name="ETACELL">Sheet1!$F$8</definedName>
    <definedName name="FAX">#REF!</definedName>
    <definedName name="HEIGHT1">#REF!</definedName>
    <definedName name="HEIGHT10">#REF!</definedName>
    <definedName name="HEIGHT11">#REF!</definedName>
    <definedName name="HEIGHT2">#REF!</definedName>
    <definedName name="HEIGHT3">#REF!</definedName>
    <definedName name="HEIGHT4">#REF!</definedName>
    <definedName name="HEIGHT5">#REF!</definedName>
    <definedName name="HEIGHT6">#REF!</definedName>
    <definedName name="HEIGHT7">#REF!</definedName>
    <definedName name="HEIGHT8">#REF!</definedName>
    <definedName name="HEIGHT9">#REF!</definedName>
    <definedName name="LEGAL">#REF!</definedName>
    <definedName name="LEGALCELL">Sheet1!$A$50</definedName>
    <definedName name="LOGO">#REF!</definedName>
    <definedName name="LOGOCELL">Sheet1!$A$1</definedName>
    <definedName name="MATER1">#REF!</definedName>
    <definedName name="MATER10">#REF!</definedName>
    <definedName name="MATER11">#REF!</definedName>
    <definedName name="MATER2">#REF!</definedName>
    <definedName name="MATER3">#REF!</definedName>
    <definedName name="MATER4">#REF!</definedName>
    <definedName name="MATER5">#REF!</definedName>
    <definedName name="MATER6">#REF!</definedName>
    <definedName name="MATER7">#REF!</definedName>
    <definedName name="MATER8">#REF!</definedName>
    <definedName name="MATER9">#REF!</definedName>
    <definedName name="MATERIAL1">#REF!</definedName>
    <definedName name="MATERIAL10">#REF!</definedName>
    <definedName name="MATERIAL11">#REF!</definedName>
    <definedName name="MATERIAL2">#REF!</definedName>
    <definedName name="MATERIAL3">#REF!</definedName>
    <definedName name="MATERIAL4">#REF!</definedName>
    <definedName name="MATERIAL5">#REF!</definedName>
    <definedName name="MATERIAL6">#REF!</definedName>
    <definedName name="MATERIAL7">#REF!</definedName>
    <definedName name="MATERIAL8">#REF!</definedName>
    <definedName name="MATERIAL9">#REF!</definedName>
    <definedName name="MATGAG1">#REF!</definedName>
    <definedName name="MATGAG10">#REF!</definedName>
    <definedName name="MATGAG11">#REF!</definedName>
    <definedName name="MATGAG2">#REF!</definedName>
    <definedName name="MATGAG3">#REF!</definedName>
    <definedName name="MATGAG4">#REF!</definedName>
    <definedName name="MATGAG5">#REF!</definedName>
    <definedName name="MATGAG6">#REF!</definedName>
    <definedName name="MATGAG7">#REF!</definedName>
    <definedName name="MATGAG8">#REF!</definedName>
    <definedName name="MATGAG9">#REF!</definedName>
    <definedName name="NCLEGAL">data!$A$67</definedName>
    <definedName name="NSLEGAL">data!$A$21</definedName>
    <definedName name="NssmInventory" localSheetId="3" hidden="1">Colors!$A$1:$D$346</definedName>
    <definedName name="NssmInventory" localSheetId="5" hidden="1">Inventory!$A$1:$X$7</definedName>
    <definedName name="NssmInventory" localSheetId="2" hidden="1">Materials!$A$1:$B$10</definedName>
    <definedName name="NssmInventory" localSheetId="4" hidden="1">Thickness!$A$1:$C$36</definedName>
    <definedName name="NssmInventory_1" localSheetId="1" hidden="1">Vendors!$A$1:$K$58</definedName>
    <definedName name="ORDER_BY">#REF!</definedName>
    <definedName name="PONUM">#REF!</definedName>
    <definedName name="PONUMBERCELL">Sheet1!$C$3</definedName>
    <definedName name="PONUMCELL">Sheet1!$A$3</definedName>
    <definedName name="_xlnm.Print_Area" localSheetId="0">Sheet1!$A$1:$G$46,Sheet1!$A$48:$G$94</definedName>
    <definedName name="PROJECT">#REF!</definedName>
    <definedName name="PROJECTCELL">Sheet1!$C$4</definedName>
    <definedName name="PROJECTNUMBER">#REF!</definedName>
    <definedName name="PROJECTNUMBERCELL">Sheet1!$F$4</definedName>
    <definedName name="PURCHASERCELL">Sheet1!$F$3</definedName>
    <definedName name="PURCHASERINITIALCELL">Sheet1!$A$4</definedName>
    <definedName name="PURCHASING">#REF!</definedName>
    <definedName name="QUANT1">#REF!</definedName>
    <definedName name="QUANT10">#REF!</definedName>
    <definedName name="QUANT11">#REF!</definedName>
    <definedName name="QUANT2">#REF!</definedName>
    <definedName name="QUANT3">#REF!</definedName>
    <definedName name="QUANT4">#REF!</definedName>
    <definedName name="QUANT5">#REF!</definedName>
    <definedName name="QUANT6">#REF!</definedName>
    <definedName name="QUANT7">#REF!</definedName>
    <definedName name="QUANT8">#REF!</definedName>
    <definedName name="QUANT9">#REF!</definedName>
    <definedName name="Query_from_MS_Access_Database" localSheetId="1" hidden="1">Vendors!#REF!</definedName>
    <definedName name="QUNIT1">#REF!</definedName>
    <definedName name="QUNIT10">#REF!</definedName>
    <definedName name="QUNIT11">#REF!</definedName>
    <definedName name="QUNIT2">#REF!</definedName>
    <definedName name="QUNIT3">#REF!</definedName>
    <definedName name="QUNIT4">#REF!</definedName>
    <definedName name="QUNIT5">#REF!</definedName>
    <definedName name="QUNIT6">#REF!</definedName>
    <definedName name="QUNIT7">#REF!</definedName>
    <definedName name="QUNIT8">#REF!</definedName>
    <definedName name="QUNIT9">#REF!</definedName>
    <definedName name="SHIPADD1">Sheet1!$C$7</definedName>
    <definedName name="SHIPADD1CELL">Sheet1!$C$7</definedName>
    <definedName name="SHIPADD2CELL">Sheet1!$C$8</definedName>
    <definedName name="SHIPTO">#REF!</definedName>
    <definedName name="SHIPTOADD1">#REF!</definedName>
    <definedName name="SHIPTOADD2">#REF!</definedName>
    <definedName name="SHIPTOCELL">Sheet1!$C$6</definedName>
    <definedName name="SHIPVIA">#REF!</definedName>
    <definedName name="STATUS">#REF!</definedName>
    <definedName name="STATUS1">#REF!</definedName>
    <definedName name="STATUS10">#REF!</definedName>
    <definedName name="STATUS11">#REF!</definedName>
    <definedName name="STATUS2">#REF!</definedName>
    <definedName name="STATUS3">#REF!</definedName>
    <definedName name="STATUS4">#REF!</definedName>
    <definedName name="STATUS5">#REF!</definedName>
    <definedName name="STATUS6">#REF!</definedName>
    <definedName name="STATUS7">#REF!</definedName>
    <definedName name="STATUS8">#REF!</definedName>
    <definedName name="STATUS9">#REF!</definedName>
    <definedName name="STOCK1">#REF!</definedName>
    <definedName name="STOCK10">#REF!</definedName>
    <definedName name="STOCK11">#REF!</definedName>
    <definedName name="STOCK2">#REF!</definedName>
    <definedName name="STOCK3">#REF!</definedName>
    <definedName name="STOCK4">#REF!</definedName>
    <definedName name="STOCK5">#REF!</definedName>
    <definedName name="STOCK6">#REF!</definedName>
    <definedName name="STOCK7">#REF!</definedName>
    <definedName name="STOCK8">#REF!</definedName>
    <definedName name="STOCK9">#REF!</definedName>
    <definedName name="TO">#REF!</definedName>
    <definedName name="TOTAL1">#REF!</definedName>
    <definedName name="TOTAL10">#REF!</definedName>
    <definedName name="TOTAL11">#REF!</definedName>
    <definedName name="TOTAL2">#REF!</definedName>
    <definedName name="TOTAL3">#REF!</definedName>
    <definedName name="TOTAL4">#REF!</definedName>
    <definedName name="TOTAL5">#REF!</definedName>
    <definedName name="TOTAL6">#REF!</definedName>
    <definedName name="TOTAL7">#REF!</definedName>
    <definedName name="TOTAL8">#REF!</definedName>
    <definedName name="TOTAL9">#REF!</definedName>
    <definedName name="UNIT1">#REF!</definedName>
    <definedName name="UNIT10">#REF!</definedName>
    <definedName name="UNIT11">#REF!</definedName>
    <definedName name="UNIT2">#REF!</definedName>
    <definedName name="UNIT3">#REF!</definedName>
    <definedName name="UNIT4">#REF!</definedName>
    <definedName name="UNIT5">#REF!</definedName>
    <definedName name="UNIT6">#REF!</definedName>
    <definedName name="UNIT7">#REF!</definedName>
    <definedName name="UNIT8">#REF!</definedName>
    <definedName name="UNIT9">#REF!</definedName>
    <definedName name="UNITS1">#REF!</definedName>
    <definedName name="UNITS10">#REF!</definedName>
    <definedName name="UNITS11">#REF!</definedName>
    <definedName name="UNITS2">#REF!</definedName>
    <definedName name="UNITS3">#REF!</definedName>
    <definedName name="UNITS4">#REF!</definedName>
    <definedName name="UNITS5">#REF!</definedName>
    <definedName name="UNITS6">#REF!</definedName>
    <definedName name="UNITS7">#REF!</definedName>
    <definedName name="UNITS8">#REF!</definedName>
    <definedName name="UNITS9">#REF!</definedName>
    <definedName name="VENDOR">#REF!</definedName>
    <definedName name="VENDORCELL">Sheet1!$C$5</definedName>
    <definedName name="WIDTH1">#REF!</definedName>
    <definedName name="WIDTH10">#REF!</definedName>
    <definedName name="WIDTH11">#REF!</definedName>
    <definedName name="WIDTH2">#REF!</definedName>
    <definedName name="WIDTH3">#REF!</definedName>
    <definedName name="WIDTH4">#REF!</definedName>
    <definedName name="WIDTH5">#REF!</definedName>
    <definedName name="WIDTH6">#REF!</definedName>
    <definedName name="WIDTH7">#REF!</definedName>
    <definedName name="WIDTH8">#REF!</definedName>
    <definedName name="WIDTH9">#REF!</definedName>
    <definedName name="YesNo">#REF!</definedName>
    <definedName name="ZZ">Vendors!$F$52</definedName>
  </definedNames>
  <calcPr calcId="145621"/>
</workbook>
</file>

<file path=xl/calcChain.xml><?xml version="1.0" encoding="utf-8"?>
<calcChain xmlns="http://schemas.openxmlformats.org/spreadsheetml/2006/main">
  <c r="M13" i="7" l="1"/>
  <c r="B13" i="7" s="1"/>
  <c r="B1" i="7" l="1"/>
  <c r="M32" i="7" l="1"/>
  <c r="M30" i="7"/>
  <c r="M28" i="7"/>
  <c r="M26" i="7"/>
  <c r="M24" i="7"/>
  <c r="M22" i="7"/>
  <c r="M20" i="7"/>
  <c r="M18" i="7"/>
  <c r="M16" i="7"/>
  <c r="M14" i="7"/>
  <c r="B14" i="7" s="1"/>
  <c r="M15" i="7"/>
  <c r="M17" i="7"/>
  <c r="M19" i="7"/>
  <c r="M21" i="7"/>
  <c r="M23" i="7"/>
  <c r="M25" i="7"/>
  <c r="M27" i="7"/>
  <c r="M29" i="7"/>
  <c r="M31" i="7"/>
  <c r="G32" i="7"/>
  <c r="G30" i="7"/>
  <c r="G28" i="7"/>
  <c r="G26" i="7"/>
  <c r="G24" i="7"/>
  <c r="G22" i="7"/>
  <c r="G20" i="7"/>
  <c r="G18" i="7"/>
  <c r="G16" i="7"/>
  <c r="G14" i="7"/>
  <c r="G15" i="7"/>
  <c r="G17" i="7"/>
  <c r="G19" i="7"/>
  <c r="G21" i="7"/>
  <c r="G23" i="7"/>
  <c r="G25" i="7"/>
  <c r="G27" i="7"/>
  <c r="G29" i="7"/>
  <c r="G31" i="7"/>
  <c r="G13" i="7"/>
  <c r="C3" i="7"/>
  <c r="F34" i="7" l="1"/>
  <c r="A48" i="7"/>
  <c r="B17" i="8" l="1"/>
</calcChain>
</file>

<file path=xl/connections.xml><?xml version="1.0" encoding="utf-8"?>
<connections xmlns="http://schemas.openxmlformats.org/spreadsheetml/2006/main">
  <connection id="1" sourceFile="N:\Receiving and current inventory\NssmInventory.mdb" keepAlive="1" name="NssmInventory"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2" sourceFile="N:\Receiving and current inventory\NssmInventory.mdb" odcFile="C:\Users\brandan\Documents\My Data Sources\NssmInventory Color.odc" keepAlive="1" name="NssmInventory Color" type="5" refreshedVersion="0" new="1" background="1">
    <dbPr connection="Provider=Microsoft.ACE.OLEDB.12.0;Password=&quot;&quot;;User ID=Admin;Data Source=N:\Receiving and current inventory\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Color" commandType="3"/>
  </connection>
  <connection id="3" sourceFile="N:\Receiving and current inventory\NssmInventory.mdb" keepAlive="1" interval="30" name="NssmInventory Inventory" type="5" refreshedVersion="0" new="1" background="1" refreshOnLoad="1" saveData="1">
    <dbPr connection="Provider=Microsoft.ACE.OLEDB.12.0;Password=&quot;&quot;;User ID=Admin;Data Source=N:\Receiving and current inventory\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Inventory" commandType="3"/>
  </connection>
  <connection id="4" sourceFile="N:\Receiving and current inventory\NssmInventory.mdb" keepAlive="1" name="NssmInventory Material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Material" commandType="3"/>
  </connection>
  <connection id="5" sourceFile="C:\Users\brandan\Documents\NorthshorePO\Access\NssmInventory.mdb" keepAlive="1" name="NssmInventory PO_Table" type="5" refreshedVersion="0" new="1" background="1" refreshOnLoad="1" saveData="1">
    <dbPr connection="Provider=Microsoft.ACE.OLEDB.12.0;Password=&quot;&quot;;User ID=Admin;Data Source=C:\Users\brandan\Documents\NorthshorePO\Access\NssmInventory.mdb;Mode=ReadWrite;Extended Properties=&quot;&quot;;Jet OLEDB:System database=&quot;&quot;;Jet OLEDB:Registry Path=&quot;&quot;;Jet OLEDB:Database Password=&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PO_Table" commandType="3"/>
  </connection>
  <connection id="6" sourceFile="N:\Receiving and current inventory\NssmInventory.mdb" keepAlive="1" name="NssmInventory Thickness"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Thickness" commandType="3"/>
  </connection>
  <connection id="7" sourceFile="N:\Receiving and current inventory\NssmInventory.mdb" keepAlive="1" name="NssmInventory Vendors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Vendors" commandType="3"/>
  </connection>
  <connection id="8" sourceFile="N:\Receiving and current inventory\NssmInventory.mdb" keepAlive="1" name="NssmInventory1" type="5" refreshedVersion="4" background="1" refreshOnLoad="1" saveData="1">
    <dbPr connection="Provider=Microsoft.ACE.OLEDB.12.0;User ID=Admin;Data Source=N:\Receiving and current inventory\NssmInventory.mdb;Mode=ReadWrite;Extended Properties=&quot;&quot;;Jet OLEDB:System database=&quot;&quot;;Jet OLEDB:Registry Path=&quot;&quot;;Jet OLEDB:Engine Type=5;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Inventory" commandType="3"/>
  </connection>
</connections>
</file>

<file path=xl/sharedStrings.xml><?xml version="1.0" encoding="utf-8"?>
<sst xmlns="http://schemas.openxmlformats.org/spreadsheetml/2006/main" count="1565" uniqueCount="526">
  <si>
    <t>Description</t>
  </si>
  <si>
    <t>Qty.</t>
  </si>
  <si>
    <t>Unit Price</t>
  </si>
  <si>
    <t>THE TERMS AND CONDITIONS ON THIS FORM AND ATTACHED HERETO SHALL CONSTITUTE THE FINAL AND COMPLETE AGREEMENT BETWEEN PURCHASER AND SELLER.</t>
  </si>
  <si>
    <t>Not valid unless signed by Purchasing Agent</t>
  </si>
  <si>
    <t>By</t>
  </si>
  <si>
    <t>Accepted By</t>
  </si>
  <si>
    <t xml:space="preserve">1. DEFINITIONS. As used herein; (i) “Purchaser” shall mean Northshore Sheet Metal,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
</t>
  </si>
  <si>
    <t>GAUGE</t>
  </si>
  <si>
    <t>MATERIAL</t>
  </si>
  <si>
    <t>COLOR</t>
  </si>
  <si>
    <t>WIDTH</t>
  </si>
  <si>
    <t>HEIGHT</t>
  </si>
  <si>
    <t>UNITS</t>
  </si>
  <si>
    <t>DESCRIPTION</t>
  </si>
  <si>
    <t>Total Amount</t>
  </si>
  <si>
    <t>Notes</t>
  </si>
  <si>
    <t>Unit</t>
  </si>
  <si>
    <t>Fasteners</t>
  </si>
  <si>
    <t>Sealant</t>
  </si>
  <si>
    <t>Panel</t>
  </si>
  <si>
    <t>Louver</t>
  </si>
  <si>
    <t>Crate</t>
  </si>
  <si>
    <t>Tools</t>
  </si>
  <si>
    <t>Paint</t>
  </si>
  <si>
    <t>Other</t>
  </si>
  <si>
    <t>Category</t>
  </si>
  <si>
    <t>(Purchasing Agent)</t>
  </si>
  <si>
    <t>(Vendor Approved)</t>
  </si>
  <si>
    <t>Flat Sheets</t>
  </si>
  <si>
    <t>Extrusions</t>
  </si>
  <si>
    <t>Shop Supply</t>
  </si>
  <si>
    <t>Field Material</t>
  </si>
  <si>
    <t>Designation</t>
  </si>
  <si>
    <t>Northshore</t>
  </si>
  <si>
    <t>Northclad</t>
  </si>
  <si>
    <t>Stock/Shop</t>
  </si>
  <si>
    <t>Purchase Order Terms and Conditions</t>
  </si>
  <si>
    <t>Morin</t>
  </si>
  <si>
    <t>ID</t>
  </si>
  <si>
    <t>MATERIAL_TYPE</t>
  </si>
  <si>
    <t>Aluminum</t>
  </si>
  <si>
    <t>Copper</t>
  </si>
  <si>
    <t>Stainless Steel</t>
  </si>
  <si>
    <t>Zincalume</t>
  </si>
  <si>
    <t>VENDOR</t>
  </si>
  <si>
    <t>Rustique</t>
  </si>
  <si>
    <t>Premium</t>
  </si>
  <si>
    <t>Antique Patina</t>
  </si>
  <si>
    <t>Aegean Copper</t>
  </si>
  <si>
    <t>Weathering Copper</t>
  </si>
  <si>
    <t>Vintage</t>
  </si>
  <si>
    <t>Zinc Grey</t>
  </si>
  <si>
    <t>Standard</t>
  </si>
  <si>
    <t>Colonial Red</t>
  </si>
  <si>
    <t>Marine Green</t>
  </si>
  <si>
    <t>Old Town Gray</t>
  </si>
  <si>
    <t>Parchment</t>
  </si>
  <si>
    <t>Regal White</t>
  </si>
  <si>
    <t>Red</t>
  </si>
  <si>
    <t>Dark Bronze</t>
  </si>
  <si>
    <t>Sierra Tan</t>
  </si>
  <si>
    <t>Weathered Copper</t>
  </si>
  <si>
    <t>Forest Green</t>
  </si>
  <si>
    <t>Tahoe Blue</t>
  </si>
  <si>
    <t>Terra-Cotta</t>
  </si>
  <si>
    <t>Regal Blue</t>
  </si>
  <si>
    <t>Leaf Green</t>
  </si>
  <si>
    <t>Matte Black</t>
  </si>
  <si>
    <t>Hemlock Green</t>
  </si>
  <si>
    <t>Jade Green</t>
  </si>
  <si>
    <t>ZACtique II</t>
  </si>
  <si>
    <t>Metallic Copper</t>
  </si>
  <si>
    <t>Metallic Silver</t>
  </si>
  <si>
    <t>Metallic Champagne</t>
  </si>
  <si>
    <t>Silversmith</t>
  </si>
  <si>
    <t>Champagne Bronze</t>
  </si>
  <si>
    <t>Champagne Pearl</t>
  </si>
  <si>
    <t>Weathered Zinc</t>
  </si>
  <si>
    <t>Copper Penny</t>
  </si>
  <si>
    <t>Medium Gray</t>
  </si>
  <si>
    <t>Metallic</t>
  </si>
  <si>
    <t>Seafoam Green</t>
  </si>
  <si>
    <t>Champagne Gold</t>
  </si>
  <si>
    <t>Bright Silver</t>
  </si>
  <si>
    <t>Imperial White</t>
  </si>
  <si>
    <t>Stock</t>
  </si>
  <si>
    <t>Granitstone</t>
  </si>
  <si>
    <t>Sandstone</t>
  </si>
  <si>
    <t>Surrey Beige</t>
  </si>
  <si>
    <t>Rawhide</t>
  </si>
  <si>
    <t>Dakota Bronze</t>
  </si>
  <si>
    <t>Granitestone Quartz</t>
  </si>
  <si>
    <t>Foxwood Bronze</t>
  </si>
  <si>
    <t>Pre-Weathered Blue Gray</t>
  </si>
  <si>
    <t>Rheinzink Alloys</t>
  </si>
  <si>
    <t>Pre-Weathered Graphite Gray</t>
  </si>
  <si>
    <t>Ascot White</t>
  </si>
  <si>
    <t>Bone White</t>
  </si>
  <si>
    <t>Dove Gray</t>
  </si>
  <si>
    <t>Zinc Gray</t>
  </si>
  <si>
    <t>Chromium Gray</t>
  </si>
  <si>
    <t>Antique Bronze</t>
  </si>
  <si>
    <t>Spartan Bronze</t>
  </si>
  <si>
    <t>Redwood</t>
  </si>
  <si>
    <t>Patina Green</t>
  </si>
  <si>
    <t>Evergreen</t>
  </si>
  <si>
    <t>Slate Blue</t>
  </si>
  <si>
    <t>Blue Gray</t>
  </si>
  <si>
    <t>1. DEFINITIONS. As used herein; (i) “Purchaser” shall mean Northclad, Inc.; (ii) “Seller” shall mean the person or entity from whom Purchaser is buying materials pursuant to this Purchase Order, (iii) “Materials” shall mean the materials which are identified on the front page of this Purchase Order, and (iv) “Main Contract” shall mean the agreement between Purchaser and the owner of the project for which Purchaser is acquiring the Materials.
2. ACCEPTANCE. Purchaser hereby objects to any conflicting, additional and/or different terms contained in any purchase order or other writing sent by Seller in accepting this Purchase Order and the same shall not become part of this Purchase Order unless mutually agreed to in writing by Purchaser and Seller. This Purchase Order is revocable in whole or in part by Purchaser effective upon mailing notice thereof First Class Mail, postage prepaid, to Seller’s address shown on this Purchase Order.
3. PRICE. The prices of the Materials herein may not be increased by Seller without written notice to Purchaser. In the event Seller’s prices or the reorder market price of the Materials is lower than the prices set forth herein, Seller agrees to give Purchaser the benefit of such lower prices on any unshipped Materials. If a delivery price has been quoted, any charges at destination for switching, handling, storage and other accessorial services shall be borne by Seller.
4. PAYMENT. Unless otherwise stated herein, payment shall be made by Purchaser within thirty (30) days from the date of invoice. Neither full nor partial payment shall be construed as acceptance of any defective workmanship or materials. Payment to Seller is subject to adjustment for overshipment, shortage and Purchaser’s rejection of the Materials.
5. SPECIFICATIONS AND DRAWINGS. Seller agrees that the Materials shall be provided in accordance with the terms of this Purchase Order, as well as the Main Contract, including but not limited to, all applicable drawings, specifications, schedules and warranties; provided, further, Seller agrees all Materials shall be provided so as not to delay the progress of Purchaser’s work. To the extent there is a conflict between the terms of this Purchase Order and the Main Contract, the stricter terms shall govern.  A copy of the Main Contract is available upon Seller’s request.  Seller must obtain written approval from Purchaser before deviating from, modifying, changing and/or increasing or decreasing, the work or quantities set forth in the applicable drawings and specifications.
6. DELIVERY/INSPECTION. Time is of the essence for this Purchase Order. Seller shall be liable to Purchaser for any damages as a result of non-performance or delay in delivery or performance. Delivery shall not be deemed complete until the Materials have been received by Purchaser. Purchaser reserves the right to inspect the Materials prior to shipment by Seller, and the Materials shall be received subject to inspection and approval by Purchaser upon delivery. Purchaser reserves the right, whether or not it has made payment, and in its sole discretion, to either (a) reject and receive full credit for, or (b) request replacement of, any Materials that are, or that become, defective or do not conform to the specifications or drawings during the applicable warranty period. If Purchaser, in its reasonable exercise of judgment, determines that additional work, design rework or redesign is necessary to cause any Materials to come within the warranties provided for herein, Purchaser may perform such work or design as may be necessary or appropriate, all at the expense of Seller. Performance of such work by Purchaser shall in no way invalidate, waive or affect any of Seller’s warranties, express or implied, nor cause Purchaser to waive, any other remedy at law or in equity.
7. CHANGES. Purchaser may, in writing, make changes within the general scope of this Purchase Order, including but not limited to, the quantity, shape or size of the Materials, the method of shipment or packing, and the place of delivery. If any such change causes an increase or decrease in the cost of, or the time required for, performance of the work contemplated by this Purchase Order, an equitable adjustment shall be made and this Purchase Order shall be accordingly modified in writing. No change in, modification of, or revision to this Purchase Order shall be valid unless in writing and signed by Purchaser,
8. PERMITS/LICENSES/TAXES/FEES. Seller shall obtain and pay for all permits and licenses related to its performance under this Purchase Order. Except as otherwise provided herein, or as prohibited by law, Seller shall pay all sales, use, excise or other taxes or fees that may be imposed upon the Materials or the parties hereto by reason of the sale, delivery, use or rendering of the Materials or services hereunder. In the event any taxes or fees are included in the price of the Materials and are subsequently refunded to Seller, Seller shall immediately pay to Purchaser any such refund.
9. RISK OF LOSS. Seller shall bear the risk of any loss or damage to the Materials until delivered to Purchaser in conformity with this Purchase Order.
10. SHIPMENT. Shipment shall be by means and route selected by Purchaser.  The Materials shall be packaged in such a manner that they may be lifted by forklift or crane, if necessary, and Seller shall immediately replace and ship, at its sole cost, any Materials that are damaged as a result of Seller’s faulty packaging.  No charges for packing, crating or carriage shall be paid by Purchaser unless otherwise stated herein. Title to any goods priced at shipping point shall pass to Purchaser upon delivery at such shipping point; title to any goods priced at destination shall pass to Purchaser upon delivery at the specified destination. 
11. ASSIGNMENT. Seller’s rights and obligations under this Purchase Order may not be assigned without the prior written consent of Purchaser.
12. WARRANTIES. Seller warrants to Purchaser that the Materials conform to the terms of this Purchase Order and the Main Contract as provided for in paragraph 5 herein, are not less than merchantable in quality, conform to accepted standards for usage in the trade, and are fit for the particular purpose intended. Purchaser is relying upon Seller’s skill and judgment to select and furnish suitable Materials. Seller further warrants the Materials to be free from any security interest or any other lien or encumbrance. Seller warrants that the Materials shall be new, of the highest quality in design and workmanship and free from defects in workmanship, design and materials for a period of two (2) years from the date of final acceptance of the project for which Purchaser is acquiring the Materials by the owner of the project, with any replacements, corrections, or remedy thereof additionally warranted against defects for a period of one (1) year after date of remedying such defects.
13. PATENT PROTECTION. Seller’s entire right, title and interest in and to any and all inventions and improvements conceived or actually reduced to practice in the performance of work contemplated by this Purchase Order shall be granted to Purchaser. Except in the case of goods for which Purchaser furnishes complete specifications, the manufacture or sale by Seller, the use, resale, installation and intended use of the material, and the disclosure by Seller to Purchaser in any manner hereunder will not infringe upon or violate the rights of any person, corporation or partnership arising out of any patent, trademark or other proprietary right, now or hereafter in effect, or out of any license or franchise other than one to which Purchaser may be a party or by reason of equitable rights.
14. INDEMNIFICATION. Seller shall indemnify and hold Purchaser harmless from and against all liabilities, claims, losses, damages, penalties, and costs or expenses (including but not limited to court costs and attorneys’ fees) resulting from any failure of the Materials to comply with the terms of this Purchase Order and the Main Contract as provided for in paragraph 5 herein, any failure of the Materials to conform with any applicable warranties, any lien or encumbrance on the Materials, or any act or omission of Seller, its agents or employees, whether negligent or otherwise, in performing or making delivery under this Purchase Order. Seller’s indemnity obligations shall not extend to any damage or personal injury caused by the sole negligence of Purchaser; provided further that Seller’s duty to indemnify Purchaser for damages resulting from the concurrent negligence of Purchaser and Seller shall apply only to the extent of the negligence of Seller, its agents or employees. Seller’s indemnity obligations shall survive Purchaser’s acceptance of the Materials and payment therefor.
15. WAIVER. Neither failure by Purchaser to insist upon strict performance of any terms and conditions herein, nor waiver by Purchaser of a breach of any provision hereof, shall constitute a waiver of any other breach, or of such provision.
16. CLAIMS. If any Materials received by Purchaser are damaged or defective, or if the quantities received by Purchaser do not comply with the quantities indicated herein or in the Main Contract, Purchaser shall provide written notice to Seller thereof. Seller shall have thirty (30) days from receipt of such notice to cure the defective Materials and/or quantities. In the event of an emergency, Purchaser may procure materials and/or services from a third party and charge the resulting costs to Seller. All claims for monies due to or to become due from Purchaser shall be subject to deduction by Purchaser for any setoff, recoupment, or counterclaim arising out of this or any other Purchase Order between Purchaser and Seller, or by reason of any other transaction or occurrence whatsoever, whether such setoff, counterclaim or recoupment arose before or after any assignment by Seller.  Purchaser reserves the right to recover from Seller any prospective profits or incidental or consequential damages due to Seller’s default under the terms of this Purchase Order or the Main Contract.
17. VENUE. The parties agree that the venue of any dispute arising from this Purchase Order shall be King County, Washington.
18. ATTORNEYS’ FEES. In the event of a dispute arising under this Purchase Order, the prevailing party, as determined by the arbitrator, shall be entitled to an award for its reasonable costs and attorneys’ fees.
19. GOVERNING LAW. This Purchase Order shall be governed by and construed in accordance with the laws of the State of Washington, including the Uniform Commercial Code as adopted in the State of Washington, without giving effect to its laws on conflicts of law.
20. ENTIRE AGREEMENT. The parties intend this Purchase Order and its Terms and Conditions to constitute the final, complete and exclusive agreement between Purchaser and Seller. This Purchase Order shall supersede all other prior or contemporaneous agreements, representations, understandings, and promises, oral and/or written, by or between the parties with respect to the subject matter hereof. No course of dealing between the parties shall be relevant or admissible to explain, supplement or vary the terms hereof. No amendment or modification of this Purchase Order shall be effective or binding upon the parties unless made in writing and executed by both Purchaser. In the event that any provision of this Purchase Order is found to be invalid by sire court or arbitrator, all remaining provisions of this Purchase Order shall remain in full force and effect.
21. TERMINATION FOR CAUSE. Purchaser has the right to terminate this Purchase Order if Seller is unable to meet the specified delivery date(s) or if Seller fails to comply with any of the other provisions herein; provided, further, Purchaser may terminate this Purchase Order in the event of the happening of any of the following: (a) insolvency of Seller or Purchaser; (b) any act of bankruptcy by Seller under any provision of the Federal Bankruptcy Act or filing by Seller of a voluntary petition under any law providing for relief from the claims of creditors; (c) the filing of an involuntary petition to have Seller adjudicated as bankrupt under the Federal Bankruptcy Act or for reorganization of Seller under that Act or under any law providing for relief from the claims of creditors which is not vacated within thirty (30) days from the date of such filing; (d) the appointment of a receiver or trustee for Seller or Purchaser which is not vacated within thirty (30) days from the date of such appointment; (e) the execution by Seller or Purchaser of an assignment for the benefit of creditors; (f) the failure by Seller to produce and deliver acceptable Materials; or (g) any other event occurring which under the applicable law would entitle Purchaser to cancel and terminate this Purchase Order. Such termination shall not prejudice any claims that either party may have against the other.
22. TERMINATION FOR CONVENIENCE. Purchaser may, at its option and for its convenience, terminate this Purchase Order in whole or in part at any time upon written notice to Seller. Upon any such termination Seller agrees to waive any claim for damages including, but not limited to, loss of anticipated profits. Seller’s exclusive remedy, and Purchaser’s sole liability, for such termination shall be Purchaser’s payment to Seller for the Materials supplied to Purchaser prior to notice of such termination.</t>
  </si>
  <si>
    <t>THICKNESS</t>
  </si>
  <si>
    <t>24 GA</t>
  </si>
  <si>
    <t>26 GA</t>
  </si>
  <si>
    <t>22 GA</t>
  </si>
  <si>
    <t>20 GA</t>
  </si>
  <si>
    <t>18 GA</t>
  </si>
  <si>
    <t>16 GA</t>
  </si>
  <si>
    <t>14 GA</t>
  </si>
  <si>
    <t>12 GA</t>
  </si>
  <si>
    <t>10 GA</t>
  </si>
  <si>
    <t>8 GA</t>
  </si>
  <si>
    <t>0.030 IN</t>
  </si>
  <si>
    <t>0.032 IN</t>
  </si>
  <si>
    <t>0.060 IN</t>
  </si>
  <si>
    <t>0.063 IN</t>
  </si>
  <si>
    <t>0.090 IN</t>
  </si>
  <si>
    <t>0.125 IN</t>
  </si>
  <si>
    <t>8 MM</t>
  </si>
  <si>
    <t>12 MM</t>
  </si>
  <si>
    <t>Status</t>
  </si>
  <si>
    <t>Inventory</t>
  </si>
  <si>
    <t>Shipping/Receiving</t>
  </si>
  <si>
    <t>Jobsite Delivery</t>
  </si>
  <si>
    <t>TYPE</t>
  </si>
  <si>
    <t>Field</t>
  </si>
  <si>
    <t>Aames general store</t>
  </si>
  <si>
    <t>Aep Span</t>
  </si>
  <si>
    <t>Alcoa/Reynobond</t>
  </si>
  <si>
    <t>Alesther</t>
  </si>
  <si>
    <t>Alpolic</t>
  </si>
  <si>
    <t>Alucoil</t>
  </si>
  <si>
    <t>Argeton</t>
  </si>
  <si>
    <t>atlas supply</t>
  </si>
  <si>
    <t>Bestworth rommel</t>
  </si>
  <si>
    <t>Bonnell Aluminum</t>
  </si>
  <si>
    <t>Citadel</t>
  </si>
  <si>
    <t>Coast Aluminum</t>
  </si>
  <si>
    <t>Copper Sales</t>
  </si>
  <si>
    <t>Crate Tech</t>
  </si>
  <si>
    <t>Custom Bilt</t>
  </si>
  <si>
    <t>Everett Steel</t>
  </si>
  <si>
    <t>Fabral</t>
  </si>
  <si>
    <t>Fastenal</t>
  </si>
  <si>
    <t>Firestone/Unaclad</t>
  </si>
  <si>
    <t>grating pacific</t>
  </si>
  <si>
    <t>H-O Products</t>
  </si>
  <si>
    <t>Hydroslice</t>
  </si>
  <si>
    <t>Jarden</t>
  </si>
  <si>
    <t>Kerlite</t>
  </si>
  <si>
    <t>Knight Wall</t>
  </si>
  <si>
    <t>Larson</t>
  </si>
  <si>
    <t>Metal Sales</t>
  </si>
  <si>
    <t>Metal Tech- USA</t>
  </si>
  <si>
    <t>Metalistics</t>
  </si>
  <si>
    <t>Millenum tile</t>
  </si>
  <si>
    <t>Nu-Ray Metals</t>
  </si>
  <si>
    <t>Pac Clad</t>
  </si>
  <si>
    <t>Pacific Metals</t>
  </si>
  <si>
    <t>Peterson Alum.</t>
  </si>
  <si>
    <t>Procure</t>
  </si>
  <si>
    <t>Production Plating</t>
  </si>
  <si>
    <t>quality metalcrafts</t>
  </si>
  <si>
    <t>Queen City Roofing</t>
  </si>
  <si>
    <t>Reliance Screw Prod</t>
  </si>
  <si>
    <t>Rheinzink</t>
  </si>
  <si>
    <t>RSI</t>
  </si>
  <si>
    <t>Ryerson</t>
  </si>
  <si>
    <t>SAPA</t>
  </si>
  <si>
    <t>SFS intec</t>
  </si>
  <si>
    <t>Stoneway Electric</t>
  </si>
  <si>
    <t>Stonewood/ Fiberesin</t>
  </si>
  <si>
    <t>Sun Supply</t>
  </si>
  <si>
    <t>Tri Jack</t>
  </si>
  <si>
    <t>Triangle</t>
  </si>
  <si>
    <t>united duralume</t>
  </si>
  <si>
    <t>Vaproshield</t>
  </si>
  <si>
    <t>Vivix</t>
  </si>
  <si>
    <t>ADDRESS1</t>
  </si>
  <si>
    <t>ADDRESS2</t>
  </si>
  <si>
    <t>STATE</t>
  </si>
  <si>
    <t>CITY</t>
  </si>
  <si>
    <t>ZIP</t>
  </si>
  <si>
    <t>WEB</t>
  </si>
  <si>
    <t>PHONE</t>
  </si>
  <si>
    <t>FAX</t>
  </si>
  <si>
    <t>COUNTRY</t>
  </si>
  <si>
    <t>714 W. Angus Avenue</t>
  </si>
  <si>
    <t>Suite E</t>
  </si>
  <si>
    <t>CA</t>
  </si>
  <si>
    <t>Orange</t>
  </si>
  <si>
    <t>92868</t>
  </si>
  <si>
    <t>http://www.aamesgeneralstore.com/</t>
  </si>
  <si>
    <t>USA</t>
  </si>
  <si>
    <t>WA</t>
  </si>
  <si>
    <t>Tacoma</t>
  </si>
  <si>
    <t>http://www.aepspan.com/</t>
  </si>
  <si>
    <t>800-733-4955</t>
  </si>
  <si>
    <t>253-272-0791</t>
  </si>
  <si>
    <t>50 Industrial Boulevard</t>
  </si>
  <si>
    <t>Georgia</t>
  </si>
  <si>
    <t>Eastman</t>
  </si>
  <si>
    <t>31023</t>
  </si>
  <si>
    <t>https://www.alcoa.com/aap/north_america/en/home.asp</t>
  </si>
  <si>
    <t>1-478-374-4746</t>
  </si>
  <si>
    <t>1-478-374-7041</t>
  </si>
  <si>
    <t>3117 Norland Avenue</t>
  </si>
  <si>
    <t>BC</t>
  </si>
  <si>
    <t>Burnaby</t>
  </si>
  <si>
    <t>http://www.alesthermetal.com/</t>
  </si>
  <si>
    <t>604-291-6671</t>
  </si>
  <si>
    <t>604-299-9180</t>
  </si>
  <si>
    <t>V5B 3A9, CANADA</t>
  </si>
  <si>
    <t>401 Volvo Parkway</t>
  </si>
  <si>
    <t>VA</t>
  </si>
  <si>
    <t>Chesapeake</t>
  </si>
  <si>
    <t>23320</t>
  </si>
  <si>
    <t>http://www.alpolic-americas.com/en</t>
  </si>
  <si>
    <t>1.800.422.7270</t>
  </si>
  <si>
    <t>http://alucoil.com/northamerica/</t>
  </si>
  <si>
    <t>Bryer Company</t>
  </si>
  <si>
    <t>http://www.citadelap.com/</t>
  </si>
  <si>
    <t>Cascadia Metals</t>
  </si>
  <si>
    <t>19022 80th Ave. South</t>
  </si>
  <si>
    <t>Kent</t>
  </si>
  <si>
    <t>98032</t>
  </si>
  <si>
    <t>http://www.cmetals.com/us/home.html</t>
  </si>
  <si>
    <t>253-333-0218</t>
  </si>
  <si>
    <t>253-735-0276</t>
  </si>
  <si>
    <t>Alcotex</t>
  </si>
  <si>
    <t>Platinum</t>
  </si>
  <si>
    <t>Reynobond</t>
  </si>
  <si>
    <t>Colorweld 500 Series Two</t>
  </si>
  <si>
    <t>Vancouver Copper</t>
  </si>
  <si>
    <t>Anodic Clear</t>
  </si>
  <si>
    <t>Anodic Satin</t>
  </si>
  <si>
    <t>Anodic Bronze</t>
  </si>
  <si>
    <t>Bright Silver Metallic</t>
  </si>
  <si>
    <t>Colorweld 500XL Series Three</t>
  </si>
  <si>
    <t>Champagne Metallic</t>
  </si>
  <si>
    <t>Titanium</t>
  </si>
  <si>
    <t>Nordic White</t>
  </si>
  <si>
    <t>Natural Finish: Wood</t>
  </si>
  <si>
    <t>Sunny Pear</t>
  </si>
  <si>
    <t>Walnut Brown</t>
  </si>
  <si>
    <t>Mahogany Brown</t>
  </si>
  <si>
    <t>Embala Brown</t>
  </si>
  <si>
    <t>Oleyo Brown</t>
  </si>
  <si>
    <t>Aneho Brown</t>
  </si>
  <si>
    <t>Café Brown</t>
  </si>
  <si>
    <t>Terra Cream</t>
  </si>
  <si>
    <t>Natural Finish: Terra/Mineral</t>
  </si>
  <si>
    <t>Terra di Tosca</t>
  </si>
  <si>
    <t>Terra Cotta Mineral</t>
  </si>
  <si>
    <t>Terra di Siena</t>
  </si>
  <si>
    <t>Mineral Grey</t>
  </si>
  <si>
    <t>Mineral Antra Metalica</t>
  </si>
  <si>
    <t>Mineral Red</t>
  </si>
  <si>
    <t>Cedar Brown</t>
  </si>
  <si>
    <t>Pale Oak</t>
  </si>
  <si>
    <t>Golden Oak</t>
  </si>
  <si>
    <t>Jaya Pale</t>
  </si>
  <si>
    <t>Zebra</t>
  </si>
  <si>
    <t>Koya Line</t>
  </si>
  <si>
    <t>Zebrano Natural</t>
  </si>
  <si>
    <t>Dark oak</t>
  </si>
  <si>
    <t>Scottish Oak</t>
  </si>
  <si>
    <t>Italian Walnut</t>
  </si>
  <si>
    <t>Okene Line</t>
  </si>
  <si>
    <t>Dark Zebrano</t>
  </si>
  <si>
    <t>White Granite</t>
  </si>
  <si>
    <t>Natural Finish: Granite</t>
  </si>
  <si>
    <t>Rose Granite</t>
  </si>
  <si>
    <t>Blue-Grey Granite</t>
  </si>
  <si>
    <t>Black Granite</t>
  </si>
  <si>
    <t>Zinc Patina</t>
  </si>
  <si>
    <t>Natural Finish: Patina</t>
  </si>
  <si>
    <t>Copper Patina</t>
  </si>
  <si>
    <t>Rust Patina</t>
  </si>
  <si>
    <t>Aciero Corten</t>
  </si>
  <si>
    <t>Natural Finish: Stone</t>
  </si>
  <si>
    <t>Light Oyster Travertine</t>
  </si>
  <si>
    <t>Apollo Stone</t>
  </si>
  <si>
    <t>Riyad Stone</t>
  </si>
  <si>
    <t>Stone White</t>
  </si>
  <si>
    <t>Almond</t>
  </si>
  <si>
    <t>Slate Gray</t>
  </si>
  <si>
    <t>Cityscape</t>
  </si>
  <si>
    <t>Charcoal Gray</t>
  </si>
  <si>
    <t>Sky Blue</t>
  </si>
  <si>
    <t>Electric Blue</t>
  </si>
  <si>
    <t>Award Blue</t>
  </si>
  <si>
    <t>Extra Dark Bronze</t>
  </si>
  <si>
    <t>Medium Bronze</t>
  </si>
  <si>
    <t>Teal</t>
  </si>
  <si>
    <t>Tropical Patina</t>
  </si>
  <si>
    <t>Dark Ivy</t>
  </si>
  <si>
    <t>Sherwood Green</t>
  </si>
  <si>
    <t>Hartford Green</t>
  </si>
  <si>
    <t>Mansard Brown</t>
  </si>
  <si>
    <t>Regal Red</t>
  </si>
  <si>
    <t>Brandywine</t>
  </si>
  <si>
    <t>Terra Cotta</t>
  </si>
  <si>
    <t>Silver Metallic</t>
  </si>
  <si>
    <t>Classic Copper</t>
  </si>
  <si>
    <t>Off White</t>
  </si>
  <si>
    <t>Oyster White</t>
  </si>
  <si>
    <t>Marble</t>
  </si>
  <si>
    <t>Limestone</t>
  </si>
  <si>
    <t>Cadet Grey</t>
  </si>
  <si>
    <t>Classic Bronze</t>
  </si>
  <si>
    <t>Classic Black</t>
  </si>
  <si>
    <t>Marakesh Red</t>
  </si>
  <si>
    <t>Deep Sea Blue</t>
  </si>
  <si>
    <t>Mica</t>
  </si>
  <si>
    <t>Plantinum</t>
  </si>
  <si>
    <t>Champagne Mica</t>
  </si>
  <si>
    <t>Pewter</t>
  </si>
  <si>
    <t>Pearl Metallic</t>
  </si>
  <si>
    <t>Rustic Copper Metallic</t>
  </si>
  <si>
    <t>Bright Copper Metallic</t>
  </si>
  <si>
    <t>Pweter Metallic</t>
  </si>
  <si>
    <t>Retro Red</t>
  </si>
  <si>
    <t>Twilight Blue</t>
  </si>
  <si>
    <t>Mocha</t>
  </si>
  <si>
    <t>Bronze</t>
  </si>
  <si>
    <t>Old Zinc Gray</t>
  </si>
  <si>
    <t>Black</t>
  </si>
  <si>
    <t>Slate gray</t>
  </si>
  <si>
    <t>Charcoal</t>
  </si>
  <si>
    <t>Champagne</t>
  </si>
  <si>
    <t>Specialty</t>
  </si>
  <si>
    <t>Aged Tin</t>
  </si>
  <si>
    <t>Rustic Steel</t>
  </si>
  <si>
    <t>Galvalume Plus</t>
  </si>
  <si>
    <t>Natural Metals</t>
  </si>
  <si>
    <t>Weathering Steel</t>
  </si>
  <si>
    <t>Preweathered Zinc</t>
  </si>
  <si>
    <t>Anodized Aluminum</t>
  </si>
  <si>
    <t>Snowdrift White</t>
  </si>
  <si>
    <t>Linen White</t>
  </si>
  <si>
    <t>Taupe</t>
  </si>
  <si>
    <t>Khaki</t>
  </si>
  <si>
    <t>Wheather Copper</t>
  </si>
  <si>
    <t>Mansard Bronze</t>
  </si>
  <si>
    <t>Ash Grey</t>
  </si>
  <si>
    <t>Old Town Grey</t>
  </si>
  <si>
    <t>Old Zinc Grey</t>
  </si>
  <si>
    <t>Slate Grey</t>
  </si>
  <si>
    <t>Aged Copper</t>
  </si>
  <si>
    <t>Classic Green</t>
  </si>
  <si>
    <t>Felt Green</t>
  </si>
  <si>
    <t>Patriot Red</t>
  </si>
  <si>
    <t>River Teal</t>
  </si>
  <si>
    <t>Champgane Metallic</t>
  </si>
  <si>
    <t>Mistique Plus</t>
  </si>
  <si>
    <t>Ocean Blue</t>
  </si>
  <si>
    <t>Galvalume</t>
  </si>
  <si>
    <t>Silver</t>
  </si>
  <si>
    <t>Gold</t>
  </si>
  <si>
    <t>Wine Red</t>
  </si>
  <si>
    <t>Jade</t>
  </si>
  <si>
    <t>Dark Champagne</t>
  </si>
  <si>
    <t>Metallic Bright Silver</t>
  </si>
  <si>
    <t>Brushed Aluminum</t>
  </si>
  <si>
    <t>Hair Line Aluminum</t>
  </si>
  <si>
    <t>Pure White</t>
  </si>
  <si>
    <t>Solid Colors</t>
  </si>
  <si>
    <t>Yellow White</t>
  </si>
  <si>
    <t>Blue White</t>
  </si>
  <si>
    <t>Ivory</t>
  </si>
  <si>
    <t>Light Grey</t>
  </si>
  <si>
    <t>Silver Grey</t>
  </si>
  <si>
    <t>Mouse Grey</t>
  </si>
  <si>
    <t>Dark Grey</t>
  </si>
  <si>
    <t>Ruby Red</t>
  </si>
  <si>
    <t>Pure Orange</t>
  </si>
  <si>
    <t>Signal Blue</t>
  </si>
  <si>
    <t>Emerald Green</t>
  </si>
  <si>
    <t>Pine Green</t>
  </si>
  <si>
    <t>Traffic Red</t>
  </si>
  <si>
    <t>Cream White</t>
  </si>
  <si>
    <t>Horigon Blue</t>
  </si>
  <si>
    <t>Raw Grey</t>
  </si>
  <si>
    <t>Lime Yellow</t>
  </si>
  <si>
    <t>Program White</t>
  </si>
  <si>
    <t>Bright White</t>
  </si>
  <si>
    <t>Classic White</t>
  </si>
  <si>
    <t>Eastman White</t>
  </si>
  <si>
    <t>Matte White</t>
  </si>
  <si>
    <t>Program Pearl</t>
  </si>
  <si>
    <t>Oyser</t>
  </si>
  <si>
    <t>Program Yellow</t>
  </si>
  <si>
    <t>Brite Yellow</t>
  </si>
  <si>
    <t>Program Red</t>
  </si>
  <si>
    <t>Scarlet Red</t>
  </si>
  <si>
    <t>Classic Red</t>
  </si>
  <si>
    <t>Eastman Red</t>
  </si>
  <si>
    <t>Eastman Blue</t>
  </si>
  <si>
    <t>Program Blue</t>
  </si>
  <si>
    <t>Matte Blue</t>
  </si>
  <si>
    <t>Brite Blue</t>
  </si>
  <si>
    <t>Patriot Blue</t>
  </si>
  <si>
    <t>Sapphire Blue</t>
  </si>
  <si>
    <t>Program Teal</t>
  </si>
  <si>
    <t>Bright Green</t>
  </si>
  <si>
    <t>Shamrock Green</t>
  </si>
  <si>
    <t>Program Black</t>
  </si>
  <si>
    <t>Patriot Red / White Stripe</t>
  </si>
  <si>
    <t>Patriot Blue / White Stripe</t>
  </si>
  <si>
    <t>Bright Yellow / White Stripe</t>
  </si>
  <si>
    <t>Program Teal / Yellow Stripe</t>
  </si>
  <si>
    <t>Natural Brushed Aluminum</t>
  </si>
  <si>
    <t>Bright Mirror</t>
  </si>
  <si>
    <t>Colorweld 500 Series One</t>
  </si>
  <si>
    <t>Frisco White</t>
  </si>
  <si>
    <t>Oyser White</t>
  </si>
  <si>
    <t>Castle Grey</t>
  </si>
  <si>
    <t>Pueblo Tan</t>
  </si>
  <si>
    <t>Konig Blue</t>
  </si>
  <si>
    <t>Bright Red</t>
  </si>
  <si>
    <t>Deep Black</t>
  </si>
  <si>
    <t>0.080 IN</t>
  </si>
  <si>
    <t>0.100 IN</t>
  </si>
  <si>
    <t>0.160 IN</t>
  </si>
  <si>
    <t>10 MM</t>
  </si>
  <si>
    <t>11 GA</t>
  </si>
  <si>
    <t>1 MM</t>
  </si>
  <si>
    <t>3 MM</t>
  </si>
  <si>
    <t>6 MM</t>
  </si>
  <si>
    <t>0.375 IN</t>
  </si>
  <si>
    <t>4 MM</t>
  </si>
  <si>
    <t>0.027 IN</t>
  </si>
  <si>
    <t>0.040 IN</t>
  </si>
  <si>
    <t>0.050 IN</t>
  </si>
  <si>
    <t>PO_NUMBER</t>
  </si>
  <si>
    <t>DATE_ORDERED</t>
  </si>
  <si>
    <t>PROJECT</t>
  </si>
  <si>
    <t>JOB_NUMBER</t>
  </si>
  <si>
    <t>QUANTITY</t>
  </si>
  <si>
    <t>UNIT</t>
  </si>
  <si>
    <t>ETA</t>
  </si>
  <si>
    <t>ATA</t>
  </si>
  <si>
    <t>UNIT_COST</t>
  </si>
  <si>
    <t>TOTAL</t>
  </si>
  <si>
    <t>ORDER_BY</t>
  </si>
  <si>
    <t>STOCK_ITEM</t>
  </si>
  <si>
    <t>MATERIAL_ITEM</t>
  </si>
  <si>
    <t>STATUS</t>
  </si>
  <si>
    <t/>
  </si>
  <si>
    <t>Northshore Sheet Metal</t>
  </si>
  <si>
    <t>11831 Beverly Park Road, Building C</t>
  </si>
  <si>
    <t>Everett, WA 98204</t>
  </si>
  <si>
    <t>Composite</t>
  </si>
  <si>
    <t>Wood</t>
  </si>
  <si>
    <t>ATTN</t>
  </si>
  <si>
    <t>x</t>
  </si>
  <si>
    <t>Total</t>
  </si>
  <si>
    <t>Attn:</t>
  </si>
  <si>
    <t>PO Number:</t>
  </si>
  <si>
    <t>Project:</t>
  </si>
  <si>
    <t>Vendor:</t>
  </si>
  <si>
    <t>Ship To:</t>
  </si>
  <si>
    <t>Date:</t>
  </si>
  <si>
    <t>Delivery ETA:</t>
  </si>
  <si>
    <t>Project Number:</t>
  </si>
  <si>
    <t>Purchaser:</t>
  </si>
  <si>
    <t>Field1</t>
  </si>
  <si>
    <t>IN</t>
  </si>
  <si>
    <t>MM</t>
  </si>
  <si>
    <t>GA</t>
  </si>
  <si>
    <t>0.25 IN</t>
  </si>
  <si>
    <t>ACM</t>
  </si>
  <si>
    <t>Galvanized</t>
  </si>
  <si>
    <t>1.000 IN</t>
  </si>
  <si>
    <t>20 OZ</t>
  </si>
  <si>
    <t>OZ</t>
  </si>
  <si>
    <t>16 OZ</t>
  </si>
  <si>
    <t>Aluminum Diamond Tread</t>
  </si>
  <si>
    <t>Aluminum Perforated</t>
  </si>
  <si>
    <t>Clear Anodized</t>
  </si>
  <si>
    <t>Copper Sheet</t>
  </si>
  <si>
    <t>Corten Steel</t>
  </si>
  <si>
    <t>Galvanized Sheet</t>
  </si>
  <si>
    <t>Prime Coat</t>
  </si>
  <si>
    <t>Embossed Terra Cotta</t>
  </si>
  <si>
    <t>VM Zonc</t>
  </si>
  <si>
    <t>Zinc</t>
  </si>
  <si>
    <t>3003 Aluminum Sheet H14</t>
  </si>
  <si>
    <t>304-#4 Stainless Steel</t>
  </si>
  <si>
    <t>304-2B Stainless Steel</t>
  </si>
  <si>
    <t>5005 Clear Anodized</t>
  </si>
  <si>
    <t>5052 Aluminum Sheet</t>
  </si>
  <si>
    <t>EA</t>
  </si>
  <si>
    <t>in</t>
  </si>
  <si>
    <t>2015-6-17</t>
  </si>
  <si>
    <t>Haertel, Brandan</t>
  </si>
  <si>
    <t>BH</t>
  </si>
  <si>
    <t xml:space="preserve">400 Fairview </t>
  </si>
  <si>
    <t>EDPM Screws</t>
  </si>
  <si>
    <t>Closures</t>
  </si>
  <si>
    <t>61719-BH</t>
  </si>
  <si>
    <t xml:space="preserve">1900 First </t>
  </si>
  <si>
    <t>5468</t>
  </si>
  <si>
    <t>24 GA Galvanized 304-#4 Stainless Steel 120in*48in</t>
  </si>
  <si>
    <t xml:space="preserve"> </t>
  </si>
  <si>
    <t>61722-BH</t>
  </si>
  <si>
    <t>5315</t>
  </si>
  <si>
    <t>24 GA Zincalume Aegean Copper 120in*48in</t>
  </si>
  <si>
    <t>20 GA Galvanized Galvanized Sheet 120in*48in</t>
  </si>
  <si>
    <t>61817-DE</t>
  </si>
  <si>
    <t>2015-6-18</t>
  </si>
  <si>
    <t>Alley 111 Apts Bellevue</t>
  </si>
  <si>
    <t>5339</t>
  </si>
  <si>
    <t>22 GA Galvanized Antique Patina 120in*48in</t>
  </si>
  <si>
    <t>Elbert, Dennis</t>
  </si>
  <si>
    <t>G90 Galvanized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</si>
</sst>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7" x14ac:knownFonts="1">
    <font>
      <sz val="11"/>
      <color theme="1"/>
      <name val="Calibri"/>
      <family val="2"/>
      <scheme val="minor"/>
    </font>
    <font>
      <b/>
      <sz val="11"/>
      <color theme="1"/>
      <name val="Calibri"/>
      <family val="2"/>
      <scheme val="minor"/>
    </font>
    <font>
      <sz val="10"/>
      <color theme="1"/>
      <name val="Calibri"/>
      <family val="2"/>
      <scheme val="minor"/>
    </font>
    <font>
      <sz val="6"/>
      <color theme="1"/>
      <name val="Arial"/>
      <family val="2"/>
    </font>
    <font>
      <sz val="11"/>
      <color theme="1"/>
      <name val="Calibri"/>
      <family val="2"/>
      <scheme val="minor"/>
    </font>
    <font>
      <b/>
      <sz val="20"/>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20">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s>
  <cellStyleXfs count="2">
    <xf numFmtId="0" fontId="0" fillId="0" borderId="0"/>
    <xf numFmtId="44" fontId="4" fillId="0" borderId="0" applyFont="0" applyFill="0" applyBorder="0" applyAlignment="0" applyProtection="0"/>
  </cellStyleXfs>
  <cellXfs count="73">
    <xf numFmtId="0" fontId="0" fillId="0" borderId="0" xfId="0"/>
    <xf numFmtId="0" fontId="0" fillId="2" borderId="0" xfId="0" applyFill="1"/>
    <xf numFmtId="0" fontId="0" fillId="2" borderId="0" xfId="0" applyFill="1" applyBorder="1"/>
    <xf numFmtId="0" fontId="1" fillId="4" borderId="4" xfId="0" applyFont="1" applyFill="1" applyBorder="1" applyAlignment="1">
      <alignment horizontal="center" wrapText="1"/>
    </xf>
    <xf numFmtId="0" fontId="0" fillId="2" borderId="8" xfId="0" applyFill="1" applyBorder="1"/>
    <xf numFmtId="0" fontId="0" fillId="2" borderId="9" xfId="0" applyFill="1" applyBorder="1"/>
    <xf numFmtId="0" fontId="0" fillId="2" borderId="7" xfId="0" applyFill="1" applyBorder="1"/>
    <xf numFmtId="0" fontId="0" fillId="0" borderId="4" xfId="0" applyBorder="1"/>
    <xf numFmtId="0" fontId="0" fillId="0" borderId="0" xfId="0" applyAlignment="1"/>
    <xf numFmtId="0" fontId="0" fillId="0" borderId="4" xfId="0" applyBorder="1" applyAlignment="1">
      <alignment horizontal="right"/>
    </xf>
    <xf numFmtId="44" fontId="0" fillId="3" borderId="4" xfId="0" applyNumberFormat="1" applyFill="1" applyBorder="1" applyAlignment="1">
      <alignment horizontal="right"/>
    </xf>
    <xf numFmtId="44" fontId="0" fillId="3" borderId="4" xfId="1" applyFont="1" applyFill="1" applyBorder="1" applyAlignment="1"/>
    <xf numFmtId="0" fontId="1" fillId="4" borderId="4" xfId="0" applyFont="1" applyFill="1" applyBorder="1" applyAlignment="1">
      <alignment horizontal="center"/>
    </xf>
    <xf numFmtId="0" fontId="0" fillId="0" borderId="4" xfId="0" applyBorder="1" applyAlignment="1"/>
    <xf numFmtId="44" fontId="0" fillId="0" borderId="4" xfId="1" applyFont="1" applyBorder="1" applyAlignment="1">
      <alignment horizontal="center"/>
    </xf>
    <xf numFmtId="44" fontId="0" fillId="3" borderId="4" xfId="1" applyFont="1" applyFill="1" applyBorder="1" applyAlignment="1">
      <alignment horizontal="center"/>
    </xf>
    <xf numFmtId="0" fontId="6" fillId="0" borderId="0" xfId="0" applyFont="1" applyAlignment="1"/>
    <xf numFmtId="49" fontId="6" fillId="0" borderId="0" xfId="0" applyNumberFormat="1" applyFont="1" applyAlignment="1"/>
    <xf numFmtId="0" fontId="6" fillId="0" borderId="0" xfId="0" applyFont="1"/>
    <xf numFmtId="0" fontId="0" fillId="0" borderId="4" xfId="0" applyNumberFormat="1" applyBorder="1" applyAlignment="1"/>
    <xf numFmtId="2" fontId="0" fillId="0" borderId="4" xfId="0" applyNumberFormat="1" applyFont="1" applyBorder="1" applyAlignment="1">
      <alignment horizontal="center"/>
    </xf>
    <xf numFmtId="49" fontId="0" fillId="0" borderId="4" xfId="0" applyNumberFormat="1" applyFont="1" applyBorder="1" applyAlignment="1">
      <alignment horizontal="center"/>
    </xf>
    <xf numFmtId="2" fontId="0" fillId="3" borderId="4" xfId="0" applyNumberFormat="1" applyFont="1" applyFill="1" applyBorder="1" applyAlignment="1">
      <alignment horizontal="center"/>
    </xf>
    <xf numFmtId="49" fontId="0" fillId="3" borderId="4" xfId="0" applyNumberFormat="1" applyFont="1" applyFill="1" applyBorder="1" applyAlignment="1">
      <alignment horizontal="center"/>
    </xf>
    <xf numFmtId="0" fontId="0" fillId="2" borderId="4" xfId="0" applyNumberFormat="1" applyFill="1" applyBorder="1" applyAlignment="1">
      <alignment horizontal="left"/>
    </xf>
    <xf numFmtId="0" fontId="0" fillId="3" borderId="4" xfId="0" applyNumberFormat="1" applyFill="1" applyBorder="1" applyAlignment="1">
      <alignment horizontal="left"/>
    </xf>
    <xf numFmtId="0" fontId="0" fillId="0" borderId="0" xfId="0" applyBorder="1" applyAlignment="1"/>
    <xf numFmtId="49" fontId="1" fillId="3" borderId="4" xfId="0" applyNumberFormat="1" applyFont="1" applyFill="1" applyBorder="1" applyAlignment="1">
      <alignment horizontal="left"/>
    </xf>
    <xf numFmtId="49" fontId="1" fillId="2" borderId="4" xfId="0" applyNumberFormat="1" applyFont="1" applyFill="1" applyBorder="1" applyAlignment="1">
      <alignment horizontal="left"/>
    </xf>
    <xf numFmtId="0" fontId="0" fillId="0" borderId="16" xfId="0" applyBorder="1"/>
    <xf numFmtId="0" fontId="5" fillId="2" borderId="0" xfId="0" applyFont="1" applyFill="1" applyAlignment="1">
      <alignment vertical="center"/>
    </xf>
    <xf numFmtId="0" fontId="5" fillId="2" borderId="0" xfId="0" applyFont="1" applyFill="1" applyAlignment="1">
      <alignment horizontal="center" vertical="center"/>
    </xf>
    <xf numFmtId="0" fontId="1" fillId="3" borderId="5" xfId="0" applyNumberFormat="1" applyFont="1" applyFill="1" applyBorder="1" applyAlignment="1">
      <alignment horizontal="left"/>
    </xf>
    <xf numFmtId="0" fontId="1" fillId="3" borderId="6" xfId="0" applyNumberFormat="1" applyFont="1" applyFill="1" applyBorder="1" applyAlignment="1">
      <alignment horizontal="left"/>
    </xf>
    <xf numFmtId="0" fontId="0" fillId="3" borderId="5" xfId="0" applyNumberFormat="1" applyFill="1" applyBorder="1" applyAlignment="1">
      <alignment horizontal="left"/>
    </xf>
    <xf numFmtId="0" fontId="0" fillId="3" borderId="6" xfId="0" applyNumberFormat="1" applyFill="1" applyBorder="1" applyAlignment="1">
      <alignment horizontal="left"/>
    </xf>
    <xf numFmtId="0" fontId="3" fillId="2" borderId="0" xfId="0" applyFont="1" applyFill="1" applyAlignment="1">
      <alignment horizontal="justify" vertical="top" wrapText="1"/>
    </xf>
    <xf numFmtId="0" fontId="1" fillId="2" borderId="0" xfId="0" applyFont="1" applyFill="1" applyAlignment="1">
      <alignment horizontal="center" vertical="top" wrapText="1"/>
    </xf>
    <xf numFmtId="0" fontId="2" fillId="0" borderId="4" xfId="0" applyFont="1" applyBorder="1" applyAlignment="1">
      <alignment horizontal="center"/>
    </xf>
    <xf numFmtId="44" fontId="2" fillId="3" borderId="5" xfId="0" applyNumberFormat="1" applyFont="1" applyFill="1" applyBorder="1" applyAlignment="1">
      <alignment horizontal="center"/>
    </xf>
    <xf numFmtId="44" fontId="2" fillId="3" borderId="6" xfId="0" applyNumberFormat="1" applyFont="1" applyFill="1" applyBorder="1" applyAlignment="1">
      <alignment horizontal="center"/>
    </xf>
    <xf numFmtId="0" fontId="0" fillId="0" borderId="4" xfId="0" applyBorder="1" applyAlignment="1">
      <alignment horizontal="center"/>
    </xf>
    <xf numFmtId="44" fontId="0" fillId="3" borderId="5" xfId="0" applyNumberFormat="1" applyFill="1" applyBorder="1" applyAlignment="1">
      <alignment horizontal="center"/>
    </xf>
    <xf numFmtId="44" fontId="0" fillId="3" borderId="2" xfId="0" applyNumberFormat="1" applyFill="1" applyBorder="1" applyAlignment="1">
      <alignment horizontal="center"/>
    </xf>
    <xf numFmtId="44" fontId="0" fillId="3" borderId="6" xfId="0" applyNumberFormat="1" applyFill="1" applyBorder="1" applyAlignment="1">
      <alignment horizontal="center"/>
    </xf>
    <xf numFmtId="0" fontId="0" fillId="0" borderId="3" xfId="0" applyBorder="1" applyAlignment="1">
      <alignment horizontal="right"/>
    </xf>
    <xf numFmtId="0" fontId="1" fillId="2" borderId="0" xfId="0" applyFont="1" applyFill="1" applyAlignment="1">
      <alignment horizontal="center" vertical="center" wrapText="1"/>
    </xf>
    <xf numFmtId="49" fontId="1" fillId="2" borderId="5" xfId="0" applyNumberFormat="1" applyFont="1" applyFill="1" applyBorder="1" applyAlignment="1">
      <alignment horizontal="left"/>
    </xf>
    <xf numFmtId="49" fontId="1" fillId="2" borderId="6" xfId="0" applyNumberFormat="1" applyFont="1" applyFill="1" applyBorder="1" applyAlignment="1">
      <alignment horizontal="left"/>
    </xf>
    <xf numFmtId="49" fontId="0" fillId="2" borderId="4" xfId="0" applyNumberFormat="1" applyFill="1" applyBorder="1" applyAlignment="1">
      <alignment horizontal="left"/>
    </xf>
    <xf numFmtId="0" fontId="0" fillId="0" borderId="12" xfId="0" applyBorder="1" applyAlignment="1">
      <alignment horizontal="left" vertical="top"/>
    </xf>
    <xf numFmtId="0" fontId="0" fillId="0" borderId="3" xfId="0" applyBorder="1" applyAlignment="1">
      <alignment horizontal="left" vertical="top"/>
    </xf>
    <xf numFmtId="0" fontId="0" fillId="0" borderId="13"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11" xfId="0" applyBorder="1" applyAlignment="1">
      <alignment horizontal="left" vertical="top"/>
    </xf>
    <xf numFmtId="0" fontId="0" fillId="0" borderId="14" xfId="0" applyBorder="1" applyAlignment="1">
      <alignment horizontal="left" vertical="top"/>
    </xf>
    <xf numFmtId="0" fontId="0" fillId="0" borderId="1" xfId="0" applyBorder="1" applyAlignment="1">
      <alignment horizontal="left" vertical="top"/>
    </xf>
    <xf numFmtId="0" fontId="0" fillId="0" borderId="15" xfId="0" applyBorder="1" applyAlignment="1">
      <alignment horizontal="left" vertical="top"/>
    </xf>
    <xf numFmtId="0" fontId="0" fillId="0" borderId="4" xfId="0" applyNumberFormat="1" applyFont="1" applyBorder="1" applyAlignment="1">
      <alignment horizontal="left"/>
    </xf>
    <xf numFmtId="2" fontId="0" fillId="3" borderId="5" xfId="0" applyNumberFormat="1" applyFont="1" applyFill="1" applyBorder="1" applyAlignment="1">
      <alignment horizontal="left"/>
    </xf>
    <xf numFmtId="2" fontId="0" fillId="3" borderId="6" xfId="0" applyNumberFormat="1" applyFont="1" applyFill="1" applyBorder="1" applyAlignment="1">
      <alignment horizontal="left"/>
    </xf>
    <xf numFmtId="0" fontId="1" fillId="4" borderId="4" xfId="0" applyFont="1" applyFill="1" applyBorder="1" applyAlignment="1">
      <alignment horizontal="center" wrapText="1"/>
    </xf>
    <xf numFmtId="44" fontId="1" fillId="4" borderId="17" xfId="1" applyFont="1" applyFill="1" applyBorder="1" applyAlignment="1">
      <alignment horizontal="right" wrapText="1"/>
    </xf>
    <xf numFmtId="44" fontId="1" fillId="4" borderId="19" xfId="1" applyFont="1" applyFill="1" applyBorder="1" applyAlignment="1">
      <alignment horizontal="right" wrapText="1"/>
    </xf>
    <xf numFmtId="49" fontId="0" fillId="3" borderId="5" xfId="0" applyNumberFormat="1" applyFill="1" applyBorder="1" applyAlignment="1">
      <alignment horizontal="left"/>
    </xf>
    <xf numFmtId="49" fontId="0" fillId="3" borderId="6" xfId="0" applyNumberFormat="1" applyFill="1" applyBorder="1" applyAlignment="1">
      <alignment horizontal="left"/>
    </xf>
    <xf numFmtId="0" fontId="0" fillId="2" borderId="4" xfId="0" applyNumberFormat="1" applyFill="1" applyBorder="1" applyAlignment="1">
      <alignment horizontal="left"/>
    </xf>
    <xf numFmtId="0" fontId="1" fillId="4" borderId="17" xfId="0" applyFont="1" applyFill="1" applyBorder="1" applyAlignment="1">
      <alignment horizontal="right" wrapText="1"/>
    </xf>
    <xf numFmtId="0" fontId="1" fillId="4" borderId="18" xfId="0" applyFont="1" applyFill="1" applyBorder="1" applyAlignment="1">
      <alignment horizontal="right" wrapText="1"/>
    </xf>
    <xf numFmtId="0" fontId="1" fillId="4" borderId="19" xfId="0" applyFont="1" applyFill="1" applyBorder="1" applyAlignment="1">
      <alignment horizontal="right" wrapText="1"/>
    </xf>
    <xf numFmtId="0" fontId="0" fillId="0" borderId="5" xfId="0" applyNumberFormat="1" applyFont="1" applyBorder="1" applyAlignment="1">
      <alignment horizontal="left"/>
    </xf>
    <xf numFmtId="0" fontId="0" fillId="0" borderId="6" xfId="0" applyNumberFormat="1" applyFont="1" applyBorder="1" applyAlignment="1">
      <alignment horizontal="left"/>
    </xf>
  </cellXfs>
  <cellStyles count="2">
    <cellStyle name="Currency"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9</xdr:col>
          <xdr:colOff>438150</xdr:colOff>
          <xdr:row>3</xdr:row>
          <xdr:rowOff>0</xdr:rowOff>
        </xdr:to>
        <xdr:sp macro="" textlink="">
          <xdr:nvSpPr>
            <xdr:cNvPr id="7170" name="ponumberbtn" hidden="1">
              <a:extLst>
                <a:ext uri="{63B3BB69-23CF-44E3-9099-C40C66FF867C}">
                  <a14:compatExt spid="_x0000_s71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12</xdr:row>
          <xdr:rowOff>9525</xdr:rowOff>
        </xdr:from>
        <xdr:to>
          <xdr:col>7</xdr:col>
          <xdr:colOff>1314450</xdr:colOff>
          <xdr:row>14</xdr:row>
          <xdr:rowOff>38100</xdr:rowOff>
        </xdr:to>
        <xdr:sp macro="" textlink="">
          <xdr:nvSpPr>
            <xdr:cNvPr id="7171" name="addmaterialbtn" hidden="1">
              <a:extLst>
                <a:ext uri="{63B3BB69-23CF-44E3-9099-C40C66FF867C}">
                  <a14:compatExt spid="_x0000_s71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3</xdr:row>
          <xdr:rowOff>19050</xdr:rowOff>
        </xdr:from>
        <xdr:to>
          <xdr:col>9</xdr:col>
          <xdr:colOff>438150</xdr:colOff>
          <xdr:row>4</xdr:row>
          <xdr:rowOff>19050</xdr:rowOff>
        </xdr:to>
        <xdr:sp macro="" textlink="">
          <xdr:nvSpPr>
            <xdr:cNvPr id="7173" name="peoplecmb" hidden="1">
              <a:extLst>
                <a:ext uri="{63B3BB69-23CF-44E3-9099-C40C66FF867C}">
                  <a14:compatExt spid="_x0000_s7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6</xdr:row>
          <xdr:rowOff>0</xdr:rowOff>
        </xdr:from>
        <xdr:to>
          <xdr:col>9</xdr:col>
          <xdr:colOff>438150</xdr:colOff>
          <xdr:row>7</xdr:row>
          <xdr:rowOff>0</xdr:rowOff>
        </xdr:to>
        <xdr:sp macro="" textlink="">
          <xdr:nvSpPr>
            <xdr:cNvPr id="7174" name="shipcmb" hidden="1">
              <a:extLst>
                <a:ext uri="{63B3BB69-23CF-44E3-9099-C40C66FF867C}">
                  <a14:compatExt spid="_x0000_s7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xdr:row>
          <xdr:rowOff>0</xdr:rowOff>
        </xdr:from>
        <xdr:to>
          <xdr:col>9</xdr:col>
          <xdr:colOff>438150</xdr:colOff>
          <xdr:row>6</xdr:row>
          <xdr:rowOff>0</xdr:rowOff>
        </xdr:to>
        <xdr:sp macro="" textlink="">
          <xdr:nvSpPr>
            <xdr:cNvPr id="7175" name="vendorcmb" hidden="1">
              <a:extLst>
                <a:ext uri="{63B3BB69-23CF-44E3-9099-C40C66FF867C}">
                  <a14:compatExt spid="_x0000_s7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4</xdr:row>
          <xdr:rowOff>9525</xdr:rowOff>
        </xdr:from>
        <xdr:to>
          <xdr:col>9</xdr:col>
          <xdr:colOff>438150</xdr:colOff>
          <xdr:row>5</xdr:row>
          <xdr:rowOff>9525</xdr:rowOff>
        </xdr:to>
        <xdr:sp macro="" textlink="">
          <xdr:nvSpPr>
            <xdr:cNvPr id="7176" name="projectbtn" hidden="1">
              <a:extLst>
                <a:ext uri="{63B3BB69-23CF-44E3-9099-C40C66FF867C}">
                  <a14:compatExt spid="_x0000_s71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14</xdr:row>
          <xdr:rowOff>152400</xdr:rowOff>
        </xdr:from>
        <xdr:to>
          <xdr:col>7</xdr:col>
          <xdr:colOff>1314450</xdr:colOff>
          <xdr:row>16</xdr:row>
          <xdr:rowOff>180975</xdr:rowOff>
        </xdr:to>
        <xdr:sp macro="" textlink="">
          <xdr:nvSpPr>
            <xdr:cNvPr id="7177" name="addotherbtn" hidden="1">
              <a:extLst>
                <a:ext uri="{63B3BB69-23CF-44E3-9099-C40C66FF867C}">
                  <a14:compatExt spid="_x0000_s71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7</xdr:row>
          <xdr:rowOff>180975</xdr:rowOff>
        </xdr:from>
        <xdr:to>
          <xdr:col>7</xdr:col>
          <xdr:colOff>1000125</xdr:colOff>
          <xdr:row>11</xdr:row>
          <xdr:rowOff>114300</xdr:rowOff>
        </xdr:to>
        <xdr:sp macro="" textlink="">
          <xdr:nvSpPr>
            <xdr:cNvPr id="7178" name="clearbtn" hidden="1">
              <a:extLst>
                <a:ext uri="{63B3BB69-23CF-44E3-9099-C40C66FF867C}">
                  <a14:compatExt spid="_x0000_s71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1047750</xdr:colOff>
          <xdr:row>7</xdr:row>
          <xdr:rowOff>180975</xdr:rowOff>
        </xdr:from>
        <xdr:to>
          <xdr:col>8</xdr:col>
          <xdr:colOff>628650</xdr:colOff>
          <xdr:row>11</xdr:row>
          <xdr:rowOff>114300</xdr:rowOff>
        </xdr:to>
        <xdr:sp macro="" textlink="">
          <xdr:nvSpPr>
            <xdr:cNvPr id="7179" name="submitbtn" hidden="1">
              <a:extLst>
                <a:ext uri="{63B3BB69-23CF-44E3-9099-C40C66FF867C}">
                  <a14:compatExt spid="_x0000_s7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676275</xdr:colOff>
          <xdr:row>7</xdr:row>
          <xdr:rowOff>180975</xdr:rowOff>
        </xdr:from>
        <xdr:to>
          <xdr:col>10</xdr:col>
          <xdr:colOff>85725</xdr:colOff>
          <xdr:row>11</xdr:row>
          <xdr:rowOff>114300</xdr:rowOff>
        </xdr:to>
        <xdr:sp macro="" textlink="">
          <xdr:nvSpPr>
            <xdr:cNvPr id="7181" name="databaseaddbtn" hidden="1">
              <a:extLst>
                <a:ext uri="{63B3BB69-23CF-44E3-9099-C40C66FF867C}">
                  <a14:compatExt spid="_x0000_s7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xdr:row>
          <xdr:rowOff>19050</xdr:rowOff>
        </xdr:from>
        <xdr:to>
          <xdr:col>11</xdr:col>
          <xdr:colOff>9525</xdr:colOff>
          <xdr:row>3</xdr:row>
          <xdr:rowOff>142875</xdr:rowOff>
        </xdr:to>
        <xdr:sp macro="" textlink="">
          <xdr:nvSpPr>
            <xdr:cNvPr id="7182" name="helpbutton" hidden="1">
              <a:extLst>
                <a:ext uri="{63B3BB69-23CF-44E3-9099-C40C66FF867C}">
                  <a14:compatExt spid="_x0000_s7182"/>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NssmInventory_1" refreshOnLoad="1" connectionId="7" autoFormatId="16" applyNumberFormats="0" applyBorderFormats="0" applyFontFormats="0" applyPatternFormats="0" applyAlignmentFormats="0" applyWidthHeightFormats="0">
  <queryTableRefresh nextId="13">
    <queryTableFields count="11">
      <queryTableField id="1" name="ID" tableColumnId="1"/>
      <queryTableField id="3" name="VENDOR" tableColumnId="3"/>
      <queryTableField id="4" name="ADDRESS1" tableColumnId="2"/>
      <queryTableField id="5" name="ADDRESS2" tableColumnId="4"/>
      <queryTableField id="6" name="STATE" tableColumnId="5"/>
      <queryTableField id="7" name="CITY" tableColumnId="6"/>
      <queryTableField id="8" name="ZIP" tableColumnId="7"/>
      <queryTableField id="9" name="WEB" tableColumnId="8"/>
      <queryTableField id="10" name="PHONE" tableColumnId="9"/>
      <queryTableField id="11" name="FAX" tableColumnId="10"/>
      <queryTableField id="12" name="COUNTRY" tableColumnId="11"/>
    </queryTableFields>
  </queryTableRefresh>
</queryTable>
</file>

<file path=xl/queryTables/queryTable2.xml><?xml version="1.0" encoding="utf-8"?>
<queryTable xmlns="http://schemas.openxmlformats.org/spreadsheetml/2006/main" name="NssmInventory" refreshOnLoad="1" connectionId="4" autoFormatId="16" applyNumberFormats="0" applyBorderFormats="0" applyFontFormats="0" applyPatternFormats="0" applyAlignmentFormats="0" applyWidthHeightFormats="0">
  <queryTableRefresh nextId="3">
    <queryTableFields count="2">
      <queryTableField id="1" name="ID" tableColumnId="1"/>
      <queryTableField id="2" name="MATERIAL_TYPE" tableColumnId="2"/>
    </queryTableFields>
  </queryTableRefresh>
</queryTable>
</file>

<file path=xl/queryTables/queryTable3.xml><?xml version="1.0" encoding="utf-8"?>
<queryTable xmlns="http://schemas.openxmlformats.org/spreadsheetml/2006/main" name="NssmInventory" refreshOnLoad="1" connectionId="1" autoFormatId="16" applyNumberFormats="0" applyBorderFormats="0" applyFontFormats="0" applyPatternFormats="0" applyAlignmentFormats="0" applyWidthHeightFormats="0">
  <queryTableRefresh nextId="6">
    <queryTableFields count="4">
      <queryTableField id="1" name="ID" tableColumnId="1"/>
      <queryTableField id="2" name="COLOR" tableColumnId="2"/>
      <queryTableField id="3" name="VENDOR" tableColumnId="3"/>
      <queryTableField id="5" name="TYPE" tableColumnId="4"/>
    </queryTableFields>
  </queryTableRefresh>
</queryTable>
</file>

<file path=xl/queryTables/queryTable4.xml><?xml version="1.0" encoding="utf-8"?>
<queryTable xmlns="http://schemas.openxmlformats.org/spreadsheetml/2006/main" name="NssmInventory" refreshOnLoad="1" connectionId="6" autoFormatId="16" applyNumberFormats="0" applyBorderFormats="0" applyFontFormats="0" applyPatternFormats="0" applyAlignmentFormats="0" applyWidthHeightFormats="0">
  <queryTableRefresh nextId="5">
    <queryTableFields count="3">
      <queryTableField id="1" name="ID" tableColumnId="1"/>
      <queryTableField id="2" name="THICKNESS" tableColumnId="2"/>
      <queryTableField id="4" name="Field1" tableColumnId="3"/>
    </queryTableFields>
  </queryTableRefresh>
</queryTable>
</file>

<file path=xl/queryTables/queryTable5.xml><?xml version="1.0" encoding="utf-8"?>
<queryTable xmlns="http://schemas.openxmlformats.org/spreadsheetml/2006/main" name="NssmInventory" refreshOnLoad="1" connectionId="8" autoFormatId="16" applyNumberFormats="0" applyBorderFormats="0" applyFontFormats="0" applyPatternFormats="0" applyAlignmentFormats="0" applyWidthHeightFormats="0">
  <queryTableRefresh nextId="25">
    <queryTableFields count="24">
      <queryTableField id="1" name="PO_NUMBER" tableColumnId="1"/>
      <queryTableField id="2" name="DATE_ORDERED" tableColumnId="2"/>
      <queryTableField id="3" name="PROJECT" tableColumnId="3"/>
      <queryTableField id="4" name="JOB_NUMBER" tableColumnId="4"/>
      <queryTableField id="5" name="VENDOR" tableColumnId="5"/>
      <queryTableField id="6" name="GAUGE" tableColumnId="6"/>
      <queryTableField id="7" name="DESCRIPTION" tableColumnId="7"/>
      <queryTableField id="8" name="MATERIAL" tableColumnId="8"/>
      <queryTableField id="9" name="QUANTITY" tableColumnId="9"/>
      <queryTableField id="10" name="UNIT" tableColumnId="10"/>
      <queryTableField id="11" name="ETA" tableColumnId="11"/>
      <queryTableField id="12" name="ATA" tableColumnId="12"/>
      <queryTableField id="13" name="UNIT_COST" tableColumnId="13"/>
      <queryTableField id="14" name="TOTAL" tableColumnId="14"/>
      <queryTableField id="15" name="COLOR" tableColumnId="15"/>
      <queryTableField id="16" name="ORDER_BY" tableColumnId="16"/>
      <queryTableField id="17" name="STOCK_ITEM" tableColumnId="17"/>
      <queryTableField id="18" name="MATERIAL_ITEM" tableColumnId="18"/>
      <queryTableField id="19" name="WIDTH" tableColumnId="19"/>
      <queryTableField id="20" name="HEIGHT" tableColumnId="20"/>
      <queryTableField id="21" name="UNITS" tableColumnId="21"/>
      <queryTableField id="22" name="STATUS" tableColumnId="22"/>
      <queryTableField id="23" name="ATTN" tableColumnId="23"/>
      <queryTableField id="24" name="ID" tableColumnId="2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id="6" name="Table_NssmInventory_1" displayName="Table_NssmInventory_1" ref="A1:K58" tableType="queryTable" totalsRowShown="0">
  <autoFilter ref="A1:K58"/>
  <tableColumns count="11">
    <tableColumn id="1" uniqueName="1" name="ID" queryTableFieldId="1"/>
    <tableColumn id="3" uniqueName="3" name="VENDOR" queryTableFieldId="3"/>
    <tableColumn id="2" uniqueName="2" name="ADDRESS1" queryTableFieldId="4"/>
    <tableColumn id="4" uniqueName="4" name="ADDRESS2" queryTableFieldId="5"/>
    <tableColumn id="5" uniqueName="5" name="STATE" queryTableFieldId="6"/>
    <tableColumn id="6" uniqueName="6" name="CITY" queryTableFieldId="7"/>
    <tableColumn id="7" uniqueName="7" name="ZIP" queryTableFieldId="8"/>
    <tableColumn id="8" uniqueName="8" name="WEB" queryTableFieldId="9"/>
    <tableColumn id="9" uniqueName="9" name="PHONE" queryTableFieldId="10"/>
    <tableColumn id="10" uniqueName="10" name="FAX" queryTableFieldId="11"/>
    <tableColumn id="11" uniqueName="11" name="COUNTRY" queryTableFieldId="12"/>
  </tableColumns>
  <tableStyleInfo name="TableStyleMedium2" showFirstColumn="0" showLastColumn="0" showRowStripes="1" showColumnStripes="0"/>
</table>
</file>

<file path=xl/tables/table2.xml><?xml version="1.0" encoding="utf-8"?>
<table xmlns="http://schemas.openxmlformats.org/spreadsheetml/2006/main" id="5" name="Table_NssmInventory6" displayName="Table_NssmInventory6" ref="A1:B10" tableType="queryTable" totalsRowShown="0">
  <autoFilter ref="A1:B10"/>
  <tableColumns count="2">
    <tableColumn id="1" uniqueName="1" name="ID" queryTableFieldId="1"/>
    <tableColumn id="2" uniqueName="2" name="MATERIAL_TYPE" queryTableFieldId="2"/>
  </tableColumns>
  <tableStyleInfo name="TableStyleMedium2" showFirstColumn="0" showLastColumn="0" showRowStripes="1" showColumnStripes="0"/>
</table>
</file>

<file path=xl/tables/table3.xml><?xml version="1.0" encoding="utf-8"?>
<table xmlns="http://schemas.openxmlformats.org/spreadsheetml/2006/main" id="7" name="Table_NssmInventory" displayName="Table_NssmInventory" ref="A1:D346" tableType="queryTable" totalsRowShown="0">
  <autoFilter ref="A1:D346"/>
  <tableColumns count="4">
    <tableColumn id="1" uniqueName="1" name="ID" queryTableFieldId="1"/>
    <tableColumn id="2" uniqueName="2" name="COLOR" queryTableFieldId="2"/>
    <tableColumn id="3" uniqueName="3" name="VENDOR" queryTableFieldId="3"/>
    <tableColumn id="4" uniqueName="4" name="TYPE" queryTableFieldId="5"/>
  </tableColumns>
  <tableStyleInfo name="TableStyleMedium2" showFirstColumn="0" showLastColumn="0" showRowStripes="1" showColumnStripes="0"/>
</table>
</file>

<file path=xl/tables/table4.xml><?xml version="1.0" encoding="utf-8"?>
<table xmlns="http://schemas.openxmlformats.org/spreadsheetml/2006/main" id="1" name="Table_NssmInventory2" displayName="Table_NssmInventory2" ref="A1:C36" tableType="queryTable" totalsRowShown="0">
  <autoFilter ref="A1:C36"/>
  <tableColumns count="3">
    <tableColumn id="1" uniqueName="1" name="ID" queryTableFieldId="1"/>
    <tableColumn id="2" uniqueName="2" name="THICKNESS" queryTableFieldId="2"/>
    <tableColumn id="3" uniqueName="3" name="Field1" queryTableFieldId="4"/>
  </tableColumns>
  <tableStyleInfo name="TableStyleMedium2" showFirstColumn="0" showLastColumn="0" showRowStripes="1" showColumnStripes="0"/>
</table>
</file>

<file path=xl/tables/table5.xml><?xml version="1.0" encoding="utf-8"?>
<table xmlns="http://schemas.openxmlformats.org/spreadsheetml/2006/main" id="2" name="Table_NssmInventory3" displayName="Table_NssmInventory3" ref="A1:X7" tableType="queryTable" totalsRowShown="0">
  <autoFilter ref="A1:X7"/>
  <tableColumns count="24">
    <tableColumn id="1" uniqueName="1" name="PO_NUMBER" queryTableFieldId="1"/>
    <tableColumn id="2" uniqueName="2" name="DATE_ORDERED" queryTableFieldId="2"/>
    <tableColumn id="3" uniqueName="3" name="PROJECT" queryTableFieldId="3"/>
    <tableColumn id="4" uniqueName="4" name="JOB_NUMBER" queryTableFieldId="4"/>
    <tableColumn id="5" uniqueName="5" name="VENDOR" queryTableFieldId="5"/>
    <tableColumn id="6" uniqueName="6" name="GAUGE" queryTableFieldId="6"/>
    <tableColumn id="7" uniqueName="7" name="DESCRIPTION" queryTableFieldId="7"/>
    <tableColumn id="8" uniqueName="8" name="MATERIAL" queryTableFieldId="8"/>
    <tableColumn id="9" uniqueName="9" name="QUANTITY" queryTableFieldId="9"/>
    <tableColumn id="10" uniqueName="10" name="UNIT" queryTableFieldId="10"/>
    <tableColumn id="11" uniqueName="11" name="ETA" queryTableFieldId="11"/>
    <tableColumn id="12" uniqueName="12" name="ATA" queryTableFieldId="12"/>
    <tableColumn id="13" uniqueName="13" name="UNIT_COST" queryTableFieldId="13"/>
    <tableColumn id="14" uniqueName="14" name="TOTAL" queryTableFieldId="14"/>
    <tableColumn id="15" uniqueName="15" name="COLOR" queryTableFieldId="15"/>
    <tableColumn id="16" uniqueName="16" name="ORDER_BY" queryTableFieldId="16"/>
    <tableColumn id="17" uniqueName="17" name="STOCK_ITEM" queryTableFieldId="17"/>
    <tableColumn id="18" uniqueName="18" name="MATERIAL_ITEM" queryTableFieldId="18"/>
    <tableColumn id="19" uniqueName="19" name="WIDTH" queryTableFieldId="19"/>
    <tableColumn id="20" uniqueName="20" name="HEIGHT" queryTableFieldId="20"/>
    <tableColumn id="21" uniqueName="21" name="UNITS" queryTableFieldId="21"/>
    <tableColumn id="22" uniqueName="22" name="STATUS" queryTableFieldId="22"/>
    <tableColumn id="23" uniqueName="23" name="ATTN" queryTableFieldId="23"/>
    <tableColumn id="24" uniqueName="24" name="ID" queryTableFieldId="2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Z96"/>
  <sheetViews>
    <sheetView tabSelected="1" zoomScaleNormal="100" workbookViewId="0">
      <selection activeCell="G12" sqref="G12"/>
    </sheetView>
  </sheetViews>
  <sheetFormatPr defaultRowHeight="15" x14ac:dyDescent="0.25"/>
  <cols>
    <col min="1" max="1" width="0.85546875" customWidth="1"/>
    <col min="2" max="2" width="18" customWidth="1"/>
    <col min="3" max="3" width="37" customWidth="1"/>
    <col min="4" max="7" width="11.42578125" customWidth="1"/>
    <col min="8" max="8" width="20.5703125" customWidth="1"/>
    <col min="9" max="10" width="11.5703125" style="8" bestFit="1" customWidth="1"/>
    <col min="11" max="11" width="10.7109375" style="8" bestFit="1" customWidth="1"/>
    <col min="12" max="12" width="18.42578125" style="8" bestFit="1" customWidth="1"/>
    <col min="13" max="13" width="47" style="8" bestFit="1" customWidth="1"/>
    <col min="14" max="14" width="8" style="8" bestFit="1" customWidth="1"/>
    <col min="15" max="15" width="10.7109375" style="8" bestFit="1" customWidth="1"/>
    <col min="16" max="16" width="20.28515625" style="8" bestFit="1" customWidth="1"/>
    <col min="17" max="17" width="7.140625" style="8" bestFit="1" customWidth="1"/>
    <col min="18" max="18" width="7.5703125" style="8" bestFit="1" customWidth="1"/>
    <col min="19" max="19" width="6.42578125" bestFit="1" customWidth="1"/>
  </cols>
  <sheetData>
    <row r="1" spans="1:702" ht="18" customHeight="1" x14ac:dyDescent="0.25">
      <c r="A1" s="30" t="s">
        <v>459</v>
      </c>
      <c r="B1" s="31" t="str">
        <f>LOGOCELL&amp;" Purchase Order"</f>
        <v>Northshore Sheet Metal Purchase Order</v>
      </c>
      <c r="C1" s="31"/>
      <c r="D1" s="31"/>
      <c r="E1" s="31"/>
      <c r="F1" s="31"/>
      <c r="G1" s="31"/>
    </row>
    <row r="2" spans="1:702" ht="6.75" customHeight="1" x14ac:dyDescent="0.25">
      <c r="A2" s="30"/>
      <c r="B2" s="30"/>
      <c r="C2" s="30"/>
      <c r="D2" s="30"/>
      <c r="E2" s="30"/>
      <c r="F2" s="30"/>
      <c r="G2" s="30"/>
      <c r="ZZ2" t="s">
        <v>135</v>
      </c>
    </row>
    <row r="3" spans="1:702" ht="18" customHeight="1" x14ac:dyDescent="0.25">
      <c r="A3" s="16">
        <v>61722</v>
      </c>
      <c r="B3" s="27" t="s">
        <v>468</v>
      </c>
      <c r="C3" s="25" t="str">
        <f>PONUMCELL&amp;IF(PURCHASERINITIALCELL="","","-"&amp;PURCHASERINITIALCELL)</f>
        <v>61722-BH</v>
      </c>
      <c r="D3" s="32" t="s">
        <v>475</v>
      </c>
      <c r="E3" s="33"/>
      <c r="F3" s="34" t="s">
        <v>505</v>
      </c>
      <c r="G3" s="35"/>
      <c r="ZZ3" t="s">
        <v>136</v>
      </c>
    </row>
    <row r="4" spans="1:702" ht="18" customHeight="1" x14ac:dyDescent="0.25">
      <c r="A4" s="17" t="s">
        <v>506</v>
      </c>
      <c r="B4" s="28" t="s">
        <v>469</v>
      </c>
      <c r="C4" s="24" t="s">
        <v>507</v>
      </c>
      <c r="D4" s="47" t="s">
        <v>474</v>
      </c>
      <c r="E4" s="48"/>
      <c r="F4" s="67">
        <v>5315</v>
      </c>
      <c r="G4" s="67"/>
      <c r="ZZ4" t="s">
        <v>137</v>
      </c>
    </row>
    <row r="5" spans="1:702" ht="18" customHeight="1" x14ac:dyDescent="0.25">
      <c r="A5" s="18"/>
      <c r="B5" s="27" t="s">
        <v>470</v>
      </c>
      <c r="C5" s="25" t="s">
        <v>136</v>
      </c>
      <c r="D5" s="32" t="s">
        <v>467</v>
      </c>
      <c r="E5" s="33"/>
      <c r="F5" s="34"/>
      <c r="G5" s="35"/>
      <c r="ZZ5" t="s">
        <v>138</v>
      </c>
    </row>
    <row r="6" spans="1:702" ht="18" customHeight="1" x14ac:dyDescent="0.25">
      <c r="A6" s="18"/>
      <c r="B6" s="28" t="s">
        <v>471</v>
      </c>
      <c r="C6" s="24" t="s">
        <v>459</v>
      </c>
      <c r="D6" s="47"/>
      <c r="E6" s="48"/>
      <c r="F6" s="67"/>
      <c r="G6" s="67"/>
      <c r="ZZ6" t="s">
        <v>139</v>
      </c>
    </row>
    <row r="7" spans="1:702" ht="18" customHeight="1" x14ac:dyDescent="0.25">
      <c r="A7" s="18"/>
      <c r="B7" s="27"/>
      <c r="C7" s="25" t="s">
        <v>460</v>
      </c>
      <c r="D7" s="32" t="s">
        <v>472</v>
      </c>
      <c r="E7" s="33"/>
      <c r="F7" s="65" t="s">
        <v>504</v>
      </c>
      <c r="G7" s="66"/>
      <c r="ZZ7" t="s">
        <v>140</v>
      </c>
    </row>
    <row r="8" spans="1:702" ht="18" customHeight="1" x14ac:dyDescent="0.25">
      <c r="A8" s="18"/>
      <c r="B8" s="28"/>
      <c r="C8" s="24" t="s">
        <v>461</v>
      </c>
      <c r="D8" s="47" t="s">
        <v>473</v>
      </c>
      <c r="E8" s="48"/>
      <c r="F8" s="49" t="s">
        <v>458</v>
      </c>
      <c r="G8" s="49"/>
      <c r="ZZ8" t="s">
        <v>141</v>
      </c>
    </row>
    <row r="9" spans="1:702" ht="9" customHeight="1" x14ac:dyDescent="0.25">
      <c r="A9" s="18"/>
      <c r="S9" s="8"/>
      <c r="T9" s="8"/>
      <c r="U9" s="8"/>
      <c r="V9" s="8"/>
      <c r="W9" s="8"/>
      <c r="X9" s="8"/>
      <c r="ZZ9" t="s">
        <v>142</v>
      </c>
    </row>
    <row r="10" spans="1:702" ht="9" customHeight="1" x14ac:dyDescent="0.25">
      <c r="A10" s="18"/>
      <c r="ZZ10" t="s">
        <v>143</v>
      </c>
    </row>
    <row r="11" spans="1:702" ht="9" customHeight="1" x14ac:dyDescent="0.25">
      <c r="A11" s="18"/>
      <c r="S11" s="8"/>
      <c r="ZZ11" t="s">
        <v>144</v>
      </c>
    </row>
    <row r="12" spans="1:702" ht="29.25" customHeight="1" x14ac:dyDescent="0.25">
      <c r="B12" s="62" t="s">
        <v>0</v>
      </c>
      <c r="C12" s="62"/>
      <c r="D12" s="3" t="s">
        <v>1</v>
      </c>
      <c r="E12" s="3" t="s">
        <v>17</v>
      </c>
      <c r="F12" s="3" t="s">
        <v>2</v>
      </c>
      <c r="G12" s="3" t="s">
        <v>15</v>
      </c>
      <c r="J12" s="12" t="s">
        <v>33</v>
      </c>
      <c r="K12" s="12" t="s">
        <v>26</v>
      </c>
      <c r="L12" s="12" t="s">
        <v>129</v>
      </c>
      <c r="M12" s="12" t="s">
        <v>14</v>
      </c>
      <c r="N12" s="12" t="s">
        <v>8</v>
      </c>
      <c r="O12" s="12" t="s">
        <v>9</v>
      </c>
      <c r="P12" s="12" t="s">
        <v>10</v>
      </c>
      <c r="Q12" s="12" t="s">
        <v>11</v>
      </c>
      <c r="R12" s="12" t="s">
        <v>12</v>
      </c>
      <c r="S12" s="12" t="s">
        <v>13</v>
      </c>
      <c r="ZZ12" t="s">
        <v>229</v>
      </c>
    </row>
    <row r="13" spans="1:702" x14ac:dyDescent="0.25">
      <c r="B13" s="59" t="str">
        <f>M13</f>
        <v>24 GA Zincalume Aegean Copper 120in*48in</v>
      </c>
      <c r="C13" s="59"/>
      <c r="D13" s="20">
        <v>4</v>
      </c>
      <c r="E13" s="21" t="s">
        <v>502</v>
      </c>
      <c r="F13" s="14">
        <v>52</v>
      </c>
      <c r="G13" s="14">
        <f>F13*D13</f>
        <v>208</v>
      </c>
      <c r="H13" s="18" t="s">
        <v>465</v>
      </c>
      <c r="J13" s="13" t="s">
        <v>34</v>
      </c>
      <c r="K13" s="13" t="s">
        <v>29</v>
      </c>
      <c r="L13" s="13" t="s">
        <v>131</v>
      </c>
      <c r="M13" s="19" t="str">
        <f>N13&amp;" "&amp;O13&amp;" "&amp;P13&amp;" "&amp;Q13&amp;S13&amp;"*"&amp;R13&amp;S13</f>
        <v>24 GA Zincalume Aegean Copper 120in*48in</v>
      </c>
      <c r="N13" s="13" t="s">
        <v>111</v>
      </c>
      <c r="O13" s="13" t="s">
        <v>44</v>
      </c>
      <c r="P13" s="13" t="s">
        <v>49</v>
      </c>
      <c r="Q13" s="13">
        <v>120</v>
      </c>
      <c r="R13" s="13">
        <v>48</v>
      </c>
      <c r="S13" s="7" t="s">
        <v>503</v>
      </c>
      <c r="ZZ13" t="s">
        <v>145</v>
      </c>
    </row>
    <row r="14" spans="1:702" x14ac:dyDescent="0.25">
      <c r="B14" s="60" t="str">
        <f>M14</f>
        <v>20 GA Galvanized Galvanized Sheet 120in*48in</v>
      </c>
      <c r="C14" s="61"/>
      <c r="D14" s="22">
        <v>100</v>
      </c>
      <c r="E14" s="23" t="s">
        <v>502</v>
      </c>
      <c r="F14" s="15">
        <v>56.12</v>
      </c>
      <c r="G14" s="15">
        <f t="shared" ref="G14:G32" si="0">F14*D14</f>
        <v>5612</v>
      </c>
      <c r="H14" s="18" t="s">
        <v>465</v>
      </c>
      <c r="J14" s="11" t="s">
        <v>34</v>
      </c>
      <c r="K14" s="11" t="s">
        <v>29</v>
      </c>
      <c r="L14" s="11" t="s">
        <v>131</v>
      </c>
      <c r="M14" s="11" t="str">
        <f t="shared" ref="M14:M32" si="1">N14&amp;" "&amp;O14&amp;" "&amp;P14&amp;" "&amp;Q14&amp;S14&amp;"*"&amp;R14&amp;S14</f>
        <v>20 GA Galvanized Galvanized Sheet 120in*48in</v>
      </c>
      <c r="N14" s="11" t="s">
        <v>114</v>
      </c>
      <c r="O14" s="11" t="s">
        <v>482</v>
      </c>
      <c r="P14" s="11" t="s">
        <v>492</v>
      </c>
      <c r="Q14" s="11">
        <v>120</v>
      </c>
      <c r="R14" s="11">
        <v>48</v>
      </c>
      <c r="S14" s="11" t="s">
        <v>503</v>
      </c>
      <c r="ZZ14" t="s">
        <v>146</v>
      </c>
    </row>
    <row r="15" spans="1:702" x14ac:dyDescent="0.25">
      <c r="B15" s="59" t="s">
        <v>508</v>
      </c>
      <c r="C15" s="59"/>
      <c r="D15" s="20">
        <v>5000</v>
      </c>
      <c r="E15" s="21" t="s">
        <v>502</v>
      </c>
      <c r="F15" s="14">
        <v>0.38</v>
      </c>
      <c r="G15" s="14">
        <f t="shared" si="0"/>
        <v>1900</v>
      </c>
      <c r="H15" s="18"/>
      <c r="J15" s="13" t="s">
        <v>34</v>
      </c>
      <c r="K15" s="13" t="s">
        <v>18</v>
      </c>
      <c r="L15" s="13" t="s">
        <v>131</v>
      </c>
      <c r="M15" s="19" t="str">
        <f t="shared" si="1"/>
        <v xml:space="preserve">   *</v>
      </c>
      <c r="N15" s="13"/>
      <c r="O15" s="13"/>
      <c r="P15" s="13"/>
      <c r="Q15" s="13"/>
      <c r="R15" s="13"/>
      <c r="S15" s="7"/>
      <c r="ZZ15" t="s">
        <v>147</v>
      </c>
    </row>
    <row r="16" spans="1:702" ht="15" customHeight="1" x14ac:dyDescent="0.25">
      <c r="B16" s="60" t="s">
        <v>509</v>
      </c>
      <c r="C16" s="61"/>
      <c r="D16" s="22">
        <v>100</v>
      </c>
      <c r="E16" s="23" t="s">
        <v>502</v>
      </c>
      <c r="F16" s="15">
        <v>1.5</v>
      </c>
      <c r="G16" s="15">
        <f t="shared" si="0"/>
        <v>150</v>
      </c>
      <c r="H16" s="18"/>
      <c r="J16" s="11" t="s">
        <v>34</v>
      </c>
      <c r="K16" s="11" t="s">
        <v>25</v>
      </c>
      <c r="L16" s="11" t="s">
        <v>131</v>
      </c>
      <c r="M16" s="11" t="str">
        <f t="shared" si="1"/>
        <v xml:space="preserve">   *</v>
      </c>
      <c r="N16" s="11"/>
      <c r="O16" s="11"/>
      <c r="P16" s="11"/>
      <c r="Q16" s="11"/>
      <c r="R16" s="11"/>
      <c r="S16" s="11"/>
      <c r="ZZ16" t="s">
        <v>148</v>
      </c>
    </row>
    <row r="17" spans="2:702" ht="15" customHeight="1" x14ac:dyDescent="0.25">
      <c r="B17" s="59"/>
      <c r="C17" s="59"/>
      <c r="D17" s="20"/>
      <c r="E17" s="21" t="s">
        <v>458</v>
      </c>
      <c r="F17" s="14"/>
      <c r="G17" s="14">
        <f t="shared" si="0"/>
        <v>0</v>
      </c>
      <c r="H17" s="18"/>
      <c r="J17" s="13"/>
      <c r="K17" s="13"/>
      <c r="L17" s="13"/>
      <c r="M17" s="19" t="str">
        <f t="shared" si="1"/>
        <v xml:space="preserve">   *</v>
      </c>
      <c r="N17" s="13"/>
      <c r="O17" s="13"/>
      <c r="P17" s="13"/>
      <c r="Q17" s="13"/>
      <c r="R17" s="13"/>
      <c r="S17" s="7"/>
      <c r="ZZ17" t="s">
        <v>149</v>
      </c>
    </row>
    <row r="18" spans="2:702" x14ac:dyDescent="0.25">
      <c r="B18" s="60"/>
      <c r="C18" s="61"/>
      <c r="D18" s="22"/>
      <c r="E18" s="23" t="s">
        <v>458</v>
      </c>
      <c r="F18" s="15"/>
      <c r="G18" s="15">
        <f t="shared" si="0"/>
        <v>0</v>
      </c>
      <c r="H18" s="18"/>
      <c r="J18" s="11"/>
      <c r="K18" s="11"/>
      <c r="L18" s="11"/>
      <c r="M18" s="11" t="str">
        <f t="shared" si="1"/>
        <v xml:space="preserve">   *</v>
      </c>
      <c r="N18" s="11"/>
      <c r="O18" s="11"/>
      <c r="P18" s="11"/>
      <c r="Q18" s="11"/>
      <c r="R18" s="11"/>
      <c r="S18" s="11"/>
      <c r="ZZ18" t="s">
        <v>150</v>
      </c>
    </row>
    <row r="19" spans="2:702" x14ac:dyDescent="0.25">
      <c r="B19" s="59"/>
      <c r="C19" s="59"/>
      <c r="D19" s="20"/>
      <c r="E19" s="21" t="s">
        <v>458</v>
      </c>
      <c r="F19" s="14"/>
      <c r="G19" s="14">
        <f t="shared" si="0"/>
        <v>0</v>
      </c>
      <c r="H19" s="18"/>
      <c r="J19" s="13"/>
      <c r="K19" s="13"/>
      <c r="L19" s="13"/>
      <c r="M19" s="19" t="str">
        <f t="shared" si="1"/>
        <v xml:space="preserve">   *</v>
      </c>
      <c r="N19" s="13"/>
      <c r="O19" s="13"/>
      <c r="P19" s="13"/>
      <c r="Q19" s="13"/>
      <c r="R19" s="13"/>
      <c r="S19" s="7"/>
      <c r="ZZ19" t="s">
        <v>151</v>
      </c>
    </row>
    <row r="20" spans="2:702" x14ac:dyDescent="0.25">
      <c r="B20" s="60"/>
      <c r="C20" s="61"/>
      <c r="D20" s="22"/>
      <c r="E20" s="23" t="s">
        <v>458</v>
      </c>
      <c r="F20" s="15"/>
      <c r="G20" s="15">
        <f t="shared" si="0"/>
        <v>0</v>
      </c>
      <c r="H20" s="18"/>
      <c r="J20" s="11"/>
      <c r="K20" s="11"/>
      <c r="L20" s="11"/>
      <c r="M20" s="11" t="str">
        <f t="shared" si="1"/>
        <v xml:space="preserve">   *</v>
      </c>
      <c r="N20" s="11"/>
      <c r="O20" s="11"/>
      <c r="P20" s="11"/>
      <c r="Q20" s="11"/>
      <c r="R20" s="11"/>
      <c r="S20" s="11"/>
      <c r="ZZ20" t="s">
        <v>152</v>
      </c>
    </row>
    <row r="21" spans="2:702" x14ac:dyDescent="0.25">
      <c r="B21" s="59"/>
      <c r="C21" s="59"/>
      <c r="D21" s="20"/>
      <c r="E21" s="21" t="s">
        <v>458</v>
      </c>
      <c r="F21" s="14"/>
      <c r="G21" s="14">
        <f t="shared" si="0"/>
        <v>0</v>
      </c>
      <c r="H21" s="18"/>
      <c r="J21" s="13"/>
      <c r="K21" s="13"/>
      <c r="L21" s="13"/>
      <c r="M21" s="19" t="str">
        <f t="shared" si="1"/>
        <v xml:space="preserve">   *</v>
      </c>
      <c r="N21" s="13"/>
      <c r="O21" s="13"/>
      <c r="P21" s="13"/>
      <c r="Q21" s="13"/>
      <c r="R21" s="13"/>
      <c r="S21" s="7"/>
      <c r="ZZ21" t="s">
        <v>153</v>
      </c>
    </row>
    <row r="22" spans="2:702" x14ac:dyDescent="0.25">
      <c r="B22" s="60"/>
      <c r="C22" s="61"/>
      <c r="D22" s="22"/>
      <c r="E22" s="23" t="s">
        <v>458</v>
      </c>
      <c r="F22" s="15"/>
      <c r="G22" s="15">
        <f t="shared" si="0"/>
        <v>0</v>
      </c>
      <c r="H22" s="18"/>
      <c r="J22" s="11"/>
      <c r="K22" s="11"/>
      <c r="L22" s="11"/>
      <c r="M22" s="11" t="str">
        <f t="shared" si="1"/>
        <v xml:space="preserve">   *</v>
      </c>
      <c r="N22" s="11"/>
      <c r="O22" s="11"/>
      <c r="P22" s="11"/>
      <c r="Q22" s="11"/>
      <c r="R22" s="11"/>
      <c r="S22" s="11"/>
      <c r="ZZ22" t="s">
        <v>154</v>
      </c>
    </row>
    <row r="23" spans="2:702" x14ac:dyDescent="0.25">
      <c r="B23" s="59"/>
      <c r="C23" s="59"/>
      <c r="D23" s="20"/>
      <c r="E23" s="21" t="s">
        <v>458</v>
      </c>
      <c r="F23" s="14"/>
      <c r="G23" s="14">
        <f t="shared" si="0"/>
        <v>0</v>
      </c>
      <c r="H23" s="18"/>
      <c r="J23" s="13"/>
      <c r="K23" s="13"/>
      <c r="L23" s="13"/>
      <c r="M23" s="19" t="str">
        <f t="shared" si="1"/>
        <v xml:space="preserve">   *</v>
      </c>
      <c r="N23" s="13"/>
      <c r="O23" s="13"/>
      <c r="P23" s="13"/>
      <c r="Q23" s="13"/>
      <c r="R23" s="13"/>
      <c r="S23" s="7"/>
      <c r="ZZ23" t="s">
        <v>155</v>
      </c>
    </row>
    <row r="24" spans="2:702" x14ac:dyDescent="0.25">
      <c r="B24" s="60"/>
      <c r="C24" s="61"/>
      <c r="D24" s="22"/>
      <c r="E24" s="23" t="s">
        <v>458</v>
      </c>
      <c r="F24" s="15"/>
      <c r="G24" s="15">
        <f t="shared" si="0"/>
        <v>0</v>
      </c>
      <c r="H24" s="18"/>
      <c r="J24" s="11"/>
      <c r="K24" s="11"/>
      <c r="L24" s="11"/>
      <c r="M24" s="11" t="str">
        <f t="shared" si="1"/>
        <v xml:space="preserve">   *</v>
      </c>
      <c r="N24" s="11"/>
      <c r="O24" s="11"/>
      <c r="P24" s="11"/>
      <c r="Q24" s="11"/>
      <c r="R24" s="11"/>
      <c r="S24" s="11"/>
      <c r="ZZ24" t="s">
        <v>156</v>
      </c>
    </row>
    <row r="25" spans="2:702" x14ac:dyDescent="0.25">
      <c r="B25" s="59"/>
      <c r="C25" s="59"/>
      <c r="D25" s="20"/>
      <c r="E25" s="21" t="s">
        <v>458</v>
      </c>
      <c r="F25" s="14"/>
      <c r="G25" s="14">
        <f t="shared" si="0"/>
        <v>0</v>
      </c>
      <c r="H25" s="18"/>
      <c r="J25" s="13"/>
      <c r="K25" s="13"/>
      <c r="L25" s="13"/>
      <c r="M25" s="19" t="str">
        <f t="shared" si="1"/>
        <v xml:space="preserve">   *</v>
      </c>
      <c r="N25" s="13"/>
      <c r="O25" s="13"/>
      <c r="P25" s="13"/>
      <c r="Q25" s="13"/>
      <c r="R25" s="13"/>
      <c r="S25" s="7"/>
      <c r="ZZ25" t="s">
        <v>157</v>
      </c>
    </row>
    <row r="26" spans="2:702" x14ac:dyDescent="0.25">
      <c r="B26" s="60"/>
      <c r="C26" s="61"/>
      <c r="D26" s="22"/>
      <c r="E26" s="23" t="s">
        <v>458</v>
      </c>
      <c r="F26" s="15"/>
      <c r="G26" s="15">
        <f t="shared" si="0"/>
        <v>0</v>
      </c>
      <c r="H26" s="18"/>
      <c r="J26" s="11"/>
      <c r="K26" s="11"/>
      <c r="L26" s="11"/>
      <c r="M26" s="11" t="str">
        <f t="shared" si="1"/>
        <v xml:space="preserve">   *</v>
      </c>
      <c r="N26" s="11"/>
      <c r="O26" s="11"/>
      <c r="P26" s="11"/>
      <c r="Q26" s="11"/>
      <c r="R26" s="11"/>
      <c r="S26" s="11"/>
      <c r="ZZ26" t="s">
        <v>158</v>
      </c>
    </row>
    <row r="27" spans="2:702" x14ac:dyDescent="0.25">
      <c r="B27" s="71"/>
      <c r="C27" s="72"/>
      <c r="D27" s="20"/>
      <c r="E27" s="21" t="s">
        <v>458</v>
      </c>
      <c r="F27" s="14"/>
      <c r="G27" s="14">
        <f t="shared" si="0"/>
        <v>0</v>
      </c>
      <c r="H27" s="18"/>
      <c r="J27" s="13"/>
      <c r="K27" s="13"/>
      <c r="L27" s="13"/>
      <c r="M27" s="19" t="str">
        <f t="shared" si="1"/>
        <v xml:space="preserve">   *</v>
      </c>
      <c r="N27" s="13"/>
      <c r="O27" s="13"/>
      <c r="P27" s="13"/>
      <c r="Q27" s="13"/>
      <c r="R27" s="13"/>
      <c r="S27" s="7"/>
      <c r="ZZ27" t="s">
        <v>159</v>
      </c>
    </row>
    <row r="28" spans="2:702" x14ac:dyDescent="0.25">
      <c r="B28" s="60"/>
      <c r="C28" s="61"/>
      <c r="D28" s="22"/>
      <c r="E28" s="23" t="s">
        <v>458</v>
      </c>
      <c r="F28" s="15"/>
      <c r="G28" s="15">
        <f t="shared" si="0"/>
        <v>0</v>
      </c>
      <c r="H28" s="18"/>
      <c r="J28" s="11"/>
      <c r="K28" s="11"/>
      <c r="L28" s="11"/>
      <c r="M28" s="11" t="str">
        <f t="shared" si="1"/>
        <v xml:space="preserve">   *</v>
      </c>
      <c r="N28" s="11"/>
      <c r="O28" s="11"/>
      <c r="P28" s="11"/>
      <c r="Q28" s="11"/>
      <c r="R28" s="11"/>
      <c r="S28" s="11"/>
      <c r="ZZ28" t="s">
        <v>160</v>
      </c>
    </row>
    <row r="29" spans="2:702" x14ac:dyDescent="0.25">
      <c r="B29" s="59"/>
      <c r="C29" s="59"/>
      <c r="D29" s="20"/>
      <c r="E29" s="21" t="s">
        <v>458</v>
      </c>
      <c r="F29" s="14"/>
      <c r="G29" s="14">
        <f t="shared" si="0"/>
        <v>0</v>
      </c>
      <c r="H29" s="18"/>
      <c r="J29" s="13"/>
      <c r="K29" s="13"/>
      <c r="L29" s="13"/>
      <c r="M29" s="19" t="str">
        <f t="shared" si="1"/>
        <v xml:space="preserve">   *</v>
      </c>
      <c r="N29" s="13"/>
      <c r="O29" s="13"/>
      <c r="P29" s="13"/>
      <c r="Q29" s="13"/>
      <c r="R29" s="13"/>
      <c r="S29" s="7"/>
      <c r="ZZ29" t="s">
        <v>161</v>
      </c>
    </row>
    <row r="30" spans="2:702" x14ac:dyDescent="0.25">
      <c r="B30" s="60"/>
      <c r="C30" s="61"/>
      <c r="D30" s="22"/>
      <c r="E30" s="23" t="s">
        <v>458</v>
      </c>
      <c r="F30" s="15"/>
      <c r="G30" s="15">
        <f t="shared" si="0"/>
        <v>0</v>
      </c>
      <c r="H30" s="18"/>
      <c r="J30" s="11"/>
      <c r="K30" s="11"/>
      <c r="L30" s="11"/>
      <c r="M30" s="11" t="str">
        <f t="shared" si="1"/>
        <v xml:space="preserve">   *</v>
      </c>
      <c r="N30" s="11"/>
      <c r="O30" s="11"/>
      <c r="P30" s="11"/>
      <c r="Q30" s="11"/>
      <c r="R30" s="11"/>
      <c r="S30" s="11"/>
      <c r="ZZ30" t="s">
        <v>162</v>
      </c>
    </row>
    <row r="31" spans="2:702" x14ac:dyDescent="0.25">
      <c r="B31" s="59"/>
      <c r="C31" s="59"/>
      <c r="D31" s="20"/>
      <c r="E31" s="21" t="s">
        <v>458</v>
      </c>
      <c r="F31" s="14"/>
      <c r="G31" s="14">
        <f t="shared" si="0"/>
        <v>0</v>
      </c>
      <c r="H31" s="18"/>
      <c r="J31" s="13"/>
      <c r="K31" s="13"/>
      <c r="L31" s="13"/>
      <c r="M31" s="19" t="str">
        <f t="shared" si="1"/>
        <v xml:space="preserve">   *</v>
      </c>
      <c r="N31" s="13"/>
      <c r="O31" s="13"/>
      <c r="P31" s="13"/>
      <c r="Q31" s="13"/>
      <c r="R31" s="13"/>
      <c r="S31" s="7"/>
      <c r="ZZ31" t="s">
        <v>163</v>
      </c>
    </row>
    <row r="32" spans="2:702" x14ac:dyDescent="0.25">
      <c r="B32" s="60"/>
      <c r="C32" s="61"/>
      <c r="D32" s="22"/>
      <c r="E32" s="23" t="s">
        <v>458</v>
      </c>
      <c r="F32" s="15"/>
      <c r="G32" s="15">
        <f t="shared" si="0"/>
        <v>0</v>
      </c>
      <c r="H32" s="18"/>
      <c r="J32" s="11"/>
      <c r="K32" s="11"/>
      <c r="L32" s="11"/>
      <c r="M32" s="11" t="str">
        <f t="shared" si="1"/>
        <v xml:space="preserve">   *</v>
      </c>
      <c r="N32" s="11"/>
      <c r="O32" s="11"/>
      <c r="P32" s="11"/>
      <c r="Q32" s="11"/>
      <c r="R32" s="11"/>
      <c r="S32" s="11"/>
      <c r="ZZ32" t="s">
        <v>164</v>
      </c>
    </row>
    <row r="33" spans="1:702" ht="15.75" thickBot="1" x14ac:dyDescent="0.3">
      <c r="B33" s="29"/>
      <c r="C33" s="29"/>
      <c r="D33" s="29"/>
      <c r="E33" s="29" t="s">
        <v>458</v>
      </c>
      <c r="F33" s="29"/>
      <c r="G33" s="29"/>
      <c r="H33" s="18"/>
      <c r="S33" s="8"/>
      <c r="ZZ33" t="s">
        <v>38</v>
      </c>
    </row>
    <row r="34" spans="1:702" ht="15.75" thickTop="1" x14ac:dyDescent="0.25">
      <c r="B34" s="68" t="s">
        <v>466</v>
      </c>
      <c r="C34" s="69"/>
      <c r="D34" s="69"/>
      <c r="E34" s="70"/>
      <c r="F34" s="63">
        <f>SUM(G13:G32)</f>
        <v>7870</v>
      </c>
      <c r="G34" s="64"/>
      <c r="H34" s="18"/>
      <c r="S34" s="8"/>
      <c r="ZZ34" t="s">
        <v>165</v>
      </c>
    </row>
    <row r="35" spans="1:702" ht="13.5" customHeight="1" x14ac:dyDescent="0.25">
      <c r="ZZ35" t="s">
        <v>166</v>
      </c>
    </row>
    <row r="36" spans="1:702" x14ac:dyDescent="0.25">
      <c r="B36" t="s">
        <v>16</v>
      </c>
      <c r="ZZ36" t="s">
        <v>167</v>
      </c>
    </row>
    <row r="37" spans="1:702" x14ac:dyDescent="0.25">
      <c r="B37" s="50"/>
      <c r="C37" s="51"/>
      <c r="D37" s="51"/>
      <c r="E37" s="51"/>
      <c r="F37" s="51"/>
      <c r="G37" s="52"/>
      <c r="ZZ37" t="s">
        <v>168</v>
      </c>
    </row>
    <row r="38" spans="1:702" x14ac:dyDescent="0.25">
      <c r="B38" s="53"/>
      <c r="C38" s="54"/>
      <c r="D38" s="54"/>
      <c r="E38" s="54"/>
      <c r="F38" s="54"/>
      <c r="G38" s="55"/>
      <c r="ZZ38" t="s">
        <v>169</v>
      </c>
    </row>
    <row r="39" spans="1:702" x14ac:dyDescent="0.25">
      <c r="B39" s="53"/>
      <c r="C39" s="54"/>
      <c r="D39" s="54"/>
      <c r="E39" s="54"/>
      <c r="F39" s="54"/>
      <c r="G39" s="55"/>
      <c r="ZZ39" t="s">
        <v>170</v>
      </c>
    </row>
    <row r="40" spans="1:702" x14ac:dyDescent="0.25">
      <c r="B40" s="56"/>
      <c r="C40" s="57"/>
      <c r="D40" s="57"/>
      <c r="E40" s="57"/>
      <c r="F40" s="57"/>
      <c r="G40" s="58"/>
      <c r="ZZ40" t="s">
        <v>171</v>
      </c>
    </row>
    <row r="41" spans="1:702" ht="9.75" customHeight="1" x14ac:dyDescent="0.25">
      <c r="ZZ41" t="s">
        <v>172</v>
      </c>
    </row>
    <row r="42" spans="1:702" ht="31.5" customHeight="1" x14ac:dyDescent="0.25">
      <c r="B42" s="46" t="s">
        <v>3</v>
      </c>
      <c r="C42" s="46"/>
      <c r="D42" s="46"/>
      <c r="E42" s="46"/>
      <c r="F42" s="46"/>
      <c r="G42" s="46"/>
      <c r="ZZ42" t="s">
        <v>173</v>
      </c>
    </row>
    <row r="43" spans="1:702" ht="6" customHeight="1" x14ac:dyDescent="0.25">
      <c r="ZZ43" t="s">
        <v>174</v>
      </c>
    </row>
    <row r="44" spans="1:702" x14ac:dyDescent="0.25">
      <c r="B44" s="9" t="s">
        <v>5</v>
      </c>
      <c r="C44" s="41"/>
      <c r="D44" s="41"/>
      <c r="E44" s="41"/>
      <c r="F44" s="38" t="s">
        <v>27</v>
      </c>
      <c r="G44" s="38"/>
      <c r="ZZ44" t="s">
        <v>175</v>
      </c>
    </row>
    <row r="45" spans="1:702" x14ac:dyDescent="0.25">
      <c r="B45" s="10" t="s">
        <v>6</v>
      </c>
      <c r="C45" s="42"/>
      <c r="D45" s="43"/>
      <c r="E45" s="44"/>
      <c r="F45" s="39" t="s">
        <v>28</v>
      </c>
      <c r="G45" s="40"/>
      <c r="ZZ45" t="s">
        <v>176</v>
      </c>
    </row>
    <row r="46" spans="1:702" x14ac:dyDescent="0.25">
      <c r="B46" s="45" t="s">
        <v>4</v>
      </c>
      <c r="C46" s="45"/>
      <c r="D46" s="45"/>
      <c r="E46" s="45"/>
      <c r="F46" s="45"/>
      <c r="G46" s="45"/>
      <c r="ZZ46" t="s">
        <v>177</v>
      </c>
    </row>
    <row r="47" spans="1:702" ht="17.25" customHeight="1" x14ac:dyDescent="0.25">
      <c r="B47" s="26"/>
      <c r="C47" s="26"/>
      <c r="D47" s="26"/>
      <c r="E47" s="26"/>
      <c r="F47" s="26"/>
      <c r="G47" s="26"/>
      <c r="ZZ47" t="s">
        <v>178</v>
      </c>
    </row>
    <row r="48" spans="1:702" ht="12.75" customHeight="1" x14ac:dyDescent="0.25">
      <c r="A48" s="37" t="str">
        <f>LOGOCELL</f>
        <v>Northshore Sheet Metal</v>
      </c>
      <c r="B48" s="37"/>
      <c r="C48" s="37"/>
      <c r="D48" s="37"/>
      <c r="E48" s="37"/>
      <c r="F48" s="37"/>
      <c r="G48" s="37"/>
      <c r="H48" s="8"/>
      <c r="ZZ48" t="s">
        <v>179</v>
      </c>
    </row>
    <row r="49" spans="1:702" ht="12.75" customHeight="1" x14ac:dyDescent="0.25">
      <c r="A49" s="37" t="s">
        <v>37</v>
      </c>
      <c r="B49" s="37"/>
      <c r="C49" s="37"/>
      <c r="D49" s="37"/>
      <c r="E49" s="37"/>
      <c r="F49" s="37"/>
      <c r="G49" s="37"/>
      <c r="H49" s="8"/>
      <c r="ZZ49" t="s">
        <v>180</v>
      </c>
    </row>
    <row r="50" spans="1:702" ht="15" customHeight="1" x14ac:dyDescent="0.25">
      <c r="A50" s="36" t="s">
        <v>7</v>
      </c>
      <c r="B50" s="36"/>
      <c r="C50" s="36"/>
      <c r="D50" s="36"/>
      <c r="E50" s="36"/>
      <c r="F50" s="36"/>
      <c r="G50" s="36"/>
      <c r="H50" s="8"/>
      <c r="ZZ50" t="s">
        <v>181</v>
      </c>
    </row>
    <row r="51" spans="1:702" x14ac:dyDescent="0.25">
      <c r="A51" s="36"/>
      <c r="B51" s="36"/>
      <c r="C51" s="36"/>
      <c r="D51" s="36"/>
      <c r="E51" s="36"/>
      <c r="F51" s="36"/>
      <c r="G51" s="36"/>
      <c r="H51" s="8"/>
      <c r="ZZ51" t="s">
        <v>182</v>
      </c>
    </row>
    <row r="52" spans="1:702" x14ac:dyDescent="0.25">
      <c r="A52" s="36"/>
      <c r="B52" s="36"/>
      <c r="C52" s="36"/>
      <c r="D52" s="36"/>
      <c r="E52" s="36"/>
      <c r="F52" s="36"/>
      <c r="G52" s="36"/>
      <c r="H52" s="8"/>
      <c r="ZZ52" t="s">
        <v>183</v>
      </c>
    </row>
    <row r="53" spans="1:702" x14ac:dyDescent="0.25">
      <c r="A53" s="36"/>
      <c r="B53" s="36"/>
      <c r="C53" s="36"/>
      <c r="D53" s="36"/>
      <c r="E53" s="36"/>
      <c r="F53" s="36"/>
      <c r="G53" s="36"/>
      <c r="H53" s="8"/>
      <c r="ZZ53" t="s">
        <v>184</v>
      </c>
    </row>
    <row r="54" spans="1:702" x14ac:dyDescent="0.25">
      <c r="A54" s="36"/>
      <c r="B54" s="36"/>
      <c r="C54" s="36"/>
      <c r="D54" s="36"/>
      <c r="E54" s="36"/>
      <c r="F54" s="36"/>
      <c r="G54" s="36"/>
      <c r="H54" s="8"/>
      <c r="ZZ54" t="s">
        <v>185</v>
      </c>
    </row>
    <row r="55" spans="1:702" x14ac:dyDescent="0.25">
      <c r="A55" s="36"/>
      <c r="B55" s="36"/>
      <c r="C55" s="36"/>
      <c r="D55" s="36"/>
      <c r="E55" s="36"/>
      <c r="F55" s="36"/>
      <c r="G55" s="36"/>
      <c r="H55" s="8"/>
      <c r="ZZ55" t="s">
        <v>186</v>
      </c>
    </row>
    <row r="56" spans="1:702" x14ac:dyDescent="0.25">
      <c r="A56" s="36"/>
      <c r="B56" s="36"/>
      <c r="C56" s="36"/>
      <c r="D56" s="36"/>
      <c r="E56" s="36"/>
      <c r="F56" s="36"/>
      <c r="G56" s="36"/>
      <c r="H56" s="8"/>
      <c r="ZZ56" t="s">
        <v>231</v>
      </c>
    </row>
    <row r="57" spans="1:702" x14ac:dyDescent="0.25">
      <c r="A57" s="36"/>
      <c r="B57" s="36"/>
      <c r="C57" s="36"/>
      <c r="D57" s="36"/>
      <c r="E57" s="36"/>
      <c r="F57" s="36"/>
      <c r="G57" s="36"/>
      <c r="H57" s="8"/>
      <c r="ZZ57" t="s">
        <v>238</v>
      </c>
    </row>
    <row r="58" spans="1:702" x14ac:dyDescent="0.25">
      <c r="A58" s="36"/>
      <c r="B58" s="36"/>
      <c r="C58" s="36"/>
      <c r="D58" s="36"/>
      <c r="E58" s="36"/>
      <c r="F58" s="36"/>
      <c r="G58" s="36"/>
      <c r="H58" s="8"/>
    </row>
    <row r="59" spans="1:702" x14ac:dyDescent="0.25">
      <c r="A59" s="36"/>
      <c r="B59" s="36"/>
      <c r="C59" s="36"/>
      <c r="D59" s="36"/>
      <c r="E59" s="36"/>
      <c r="F59" s="36"/>
      <c r="G59" s="36"/>
      <c r="H59" s="8"/>
    </row>
    <row r="60" spans="1:702" x14ac:dyDescent="0.25">
      <c r="A60" s="36"/>
      <c r="B60" s="36"/>
      <c r="C60" s="36"/>
      <c r="D60" s="36"/>
      <c r="E60" s="36"/>
      <c r="F60" s="36"/>
      <c r="G60" s="36"/>
      <c r="H60" s="8"/>
    </row>
    <row r="61" spans="1:702" x14ac:dyDescent="0.25">
      <c r="A61" s="36"/>
      <c r="B61" s="36"/>
      <c r="C61" s="36"/>
      <c r="D61" s="36"/>
      <c r="E61" s="36"/>
      <c r="F61" s="36"/>
      <c r="G61" s="36"/>
      <c r="H61" s="8"/>
    </row>
    <row r="62" spans="1:702" x14ac:dyDescent="0.25">
      <c r="A62" s="36"/>
      <c r="B62" s="36"/>
      <c r="C62" s="36"/>
      <c r="D62" s="36"/>
      <c r="E62" s="36"/>
      <c r="F62" s="36"/>
      <c r="G62" s="36"/>
      <c r="H62" s="8"/>
    </row>
    <row r="63" spans="1:702" x14ac:dyDescent="0.25">
      <c r="A63" s="36"/>
      <c r="B63" s="36"/>
      <c r="C63" s="36"/>
      <c r="D63" s="36"/>
      <c r="E63" s="36"/>
      <c r="F63" s="36"/>
      <c r="G63" s="36"/>
      <c r="H63" s="8"/>
    </row>
    <row r="64" spans="1:702" x14ac:dyDescent="0.25">
      <c r="A64" s="36"/>
      <c r="B64" s="36"/>
      <c r="C64" s="36"/>
      <c r="D64" s="36"/>
      <c r="E64" s="36"/>
      <c r="F64" s="36"/>
      <c r="G64" s="36"/>
      <c r="H64" s="8"/>
    </row>
    <row r="65" spans="1:8" x14ac:dyDescent="0.25">
      <c r="A65" s="36"/>
      <c r="B65" s="36"/>
      <c r="C65" s="36"/>
      <c r="D65" s="36"/>
      <c r="E65" s="36"/>
      <c r="F65" s="36"/>
      <c r="G65" s="36"/>
      <c r="H65" s="8"/>
    </row>
    <row r="66" spans="1:8" x14ac:dyDescent="0.25">
      <c r="A66" s="36"/>
      <c r="B66" s="36"/>
      <c r="C66" s="36"/>
      <c r="D66" s="36"/>
      <c r="E66" s="36"/>
      <c r="F66" s="36"/>
      <c r="G66" s="36"/>
      <c r="H66" s="8"/>
    </row>
    <row r="67" spans="1:8" x14ac:dyDescent="0.25">
      <c r="A67" s="36"/>
      <c r="B67" s="36"/>
      <c r="C67" s="36"/>
      <c r="D67" s="36"/>
      <c r="E67" s="36"/>
      <c r="F67" s="36"/>
      <c r="G67" s="36"/>
      <c r="H67" s="8"/>
    </row>
    <row r="68" spans="1:8" x14ac:dyDescent="0.25">
      <c r="A68" s="36"/>
      <c r="B68" s="36"/>
      <c r="C68" s="36"/>
      <c r="D68" s="36"/>
      <c r="E68" s="36"/>
      <c r="F68" s="36"/>
      <c r="G68" s="36"/>
      <c r="H68" s="8"/>
    </row>
    <row r="69" spans="1:8" x14ac:dyDescent="0.25">
      <c r="A69" s="36"/>
      <c r="B69" s="36"/>
      <c r="C69" s="36"/>
      <c r="D69" s="36"/>
      <c r="E69" s="36"/>
      <c r="F69" s="36"/>
      <c r="G69" s="36"/>
      <c r="H69" s="8"/>
    </row>
    <row r="70" spans="1:8" x14ac:dyDescent="0.25">
      <c r="A70" s="36"/>
      <c r="B70" s="36"/>
      <c r="C70" s="36"/>
      <c r="D70" s="36"/>
      <c r="E70" s="36"/>
      <c r="F70" s="36"/>
      <c r="G70" s="36"/>
      <c r="H70" s="8"/>
    </row>
    <row r="71" spans="1:8" x14ac:dyDescent="0.25">
      <c r="A71" s="36"/>
      <c r="B71" s="36"/>
      <c r="C71" s="36"/>
      <c r="D71" s="36"/>
      <c r="E71" s="36"/>
      <c r="F71" s="36"/>
      <c r="G71" s="36"/>
      <c r="H71" s="8"/>
    </row>
    <row r="72" spans="1:8" x14ac:dyDescent="0.25">
      <c r="A72" s="36"/>
      <c r="B72" s="36"/>
      <c r="C72" s="36"/>
      <c r="D72" s="36"/>
      <c r="E72" s="36"/>
      <c r="F72" s="36"/>
      <c r="G72" s="36"/>
      <c r="H72" s="8"/>
    </row>
    <row r="73" spans="1:8" x14ac:dyDescent="0.25">
      <c r="A73" s="36"/>
      <c r="B73" s="36"/>
      <c r="C73" s="36"/>
      <c r="D73" s="36"/>
      <c r="E73" s="36"/>
      <c r="F73" s="36"/>
      <c r="G73" s="36"/>
      <c r="H73" s="8"/>
    </row>
    <row r="74" spans="1:8" x14ac:dyDescent="0.25">
      <c r="A74" s="36"/>
      <c r="B74" s="36"/>
      <c r="C74" s="36"/>
      <c r="D74" s="36"/>
      <c r="E74" s="36"/>
      <c r="F74" s="36"/>
      <c r="G74" s="36"/>
      <c r="H74" s="8"/>
    </row>
    <row r="75" spans="1:8" x14ac:dyDescent="0.25">
      <c r="A75" s="36"/>
      <c r="B75" s="36"/>
      <c r="C75" s="36"/>
      <c r="D75" s="36"/>
      <c r="E75" s="36"/>
      <c r="F75" s="36"/>
      <c r="G75" s="36"/>
      <c r="H75" s="8"/>
    </row>
    <row r="76" spans="1:8" x14ac:dyDescent="0.25">
      <c r="A76" s="36"/>
      <c r="B76" s="36"/>
      <c r="C76" s="36"/>
      <c r="D76" s="36"/>
      <c r="E76" s="36"/>
      <c r="F76" s="36"/>
      <c r="G76" s="36"/>
      <c r="H76" s="8"/>
    </row>
    <row r="77" spans="1:8" x14ac:dyDescent="0.25">
      <c r="A77" s="36"/>
      <c r="B77" s="36"/>
      <c r="C77" s="36"/>
      <c r="D77" s="36"/>
      <c r="E77" s="36"/>
      <c r="F77" s="36"/>
      <c r="G77" s="36"/>
      <c r="H77" s="8"/>
    </row>
    <row r="78" spans="1:8" x14ac:dyDescent="0.25">
      <c r="A78" s="36"/>
      <c r="B78" s="36"/>
      <c r="C78" s="36"/>
      <c r="D78" s="36"/>
      <c r="E78" s="36"/>
      <c r="F78" s="36"/>
      <c r="G78" s="36"/>
      <c r="H78" s="8"/>
    </row>
    <row r="79" spans="1:8" x14ac:dyDescent="0.25">
      <c r="A79" s="36"/>
      <c r="B79" s="36"/>
      <c r="C79" s="36"/>
      <c r="D79" s="36"/>
      <c r="E79" s="36"/>
      <c r="F79" s="36"/>
      <c r="G79" s="36"/>
      <c r="H79" s="8"/>
    </row>
    <row r="80" spans="1:8" x14ac:dyDescent="0.25">
      <c r="A80" s="36"/>
      <c r="B80" s="36"/>
      <c r="C80" s="36"/>
      <c r="D80" s="36"/>
      <c r="E80" s="36"/>
      <c r="F80" s="36"/>
      <c r="G80" s="36"/>
      <c r="H80" s="8"/>
    </row>
    <row r="81" spans="1:8" x14ac:dyDescent="0.25">
      <c r="A81" s="36"/>
      <c r="B81" s="36"/>
      <c r="C81" s="36"/>
      <c r="D81" s="36"/>
      <c r="E81" s="36"/>
      <c r="F81" s="36"/>
      <c r="G81" s="36"/>
      <c r="H81" s="8"/>
    </row>
    <row r="82" spans="1:8" x14ac:dyDescent="0.25">
      <c r="A82" s="36"/>
      <c r="B82" s="36"/>
      <c r="C82" s="36"/>
      <c r="D82" s="36"/>
      <c r="E82" s="36"/>
      <c r="F82" s="36"/>
      <c r="G82" s="36"/>
      <c r="H82" s="8"/>
    </row>
    <row r="83" spans="1:8" x14ac:dyDescent="0.25">
      <c r="A83" s="36"/>
      <c r="B83" s="36"/>
      <c r="C83" s="36"/>
      <c r="D83" s="36"/>
      <c r="E83" s="36"/>
      <c r="F83" s="36"/>
      <c r="G83" s="36"/>
      <c r="H83" s="8"/>
    </row>
    <row r="84" spans="1:8" x14ac:dyDescent="0.25">
      <c r="A84" s="36"/>
      <c r="B84" s="36"/>
      <c r="C84" s="36"/>
      <c r="D84" s="36"/>
      <c r="E84" s="36"/>
      <c r="F84" s="36"/>
      <c r="G84" s="36"/>
      <c r="H84" s="8"/>
    </row>
    <row r="85" spans="1:8" x14ac:dyDescent="0.25">
      <c r="A85" s="36"/>
      <c r="B85" s="36"/>
      <c r="C85" s="36"/>
      <c r="D85" s="36"/>
      <c r="E85" s="36"/>
      <c r="F85" s="36"/>
      <c r="G85" s="36"/>
      <c r="H85" s="8"/>
    </row>
    <row r="86" spans="1:8" x14ac:dyDescent="0.25">
      <c r="A86" s="36"/>
      <c r="B86" s="36"/>
      <c r="C86" s="36"/>
      <c r="D86" s="36"/>
      <c r="E86" s="36"/>
      <c r="F86" s="36"/>
      <c r="G86" s="36"/>
      <c r="H86" s="8"/>
    </row>
    <row r="87" spans="1:8" x14ac:dyDescent="0.25">
      <c r="A87" s="36"/>
      <c r="B87" s="36"/>
      <c r="C87" s="36"/>
      <c r="D87" s="36"/>
      <c r="E87" s="36"/>
      <c r="F87" s="36"/>
      <c r="G87" s="36"/>
      <c r="H87" s="8"/>
    </row>
    <row r="88" spans="1:8" x14ac:dyDescent="0.25">
      <c r="A88" s="36"/>
      <c r="B88" s="36"/>
      <c r="C88" s="36"/>
      <c r="D88" s="36"/>
      <c r="E88" s="36"/>
      <c r="F88" s="36"/>
      <c r="G88" s="36"/>
      <c r="H88" s="8"/>
    </row>
    <row r="89" spans="1:8" x14ac:dyDescent="0.25">
      <c r="A89" s="36"/>
      <c r="B89" s="36"/>
      <c r="C89" s="36"/>
      <c r="D89" s="36"/>
      <c r="E89" s="36"/>
      <c r="F89" s="36"/>
      <c r="G89" s="36"/>
      <c r="H89" s="8"/>
    </row>
    <row r="90" spans="1:8" x14ac:dyDescent="0.25">
      <c r="A90" s="36"/>
      <c r="B90" s="36"/>
      <c r="C90" s="36"/>
      <c r="D90" s="36"/>
      <c r="E90" s="36"/>
      <c r="F90" s="36"/>
      <c r="G90" s="36"/>
      <c r="H90" s="8"/>
    </row>
    <row r="91" spans="1:8" x14ac:dyDescent="0.25">
      <c r="A91" s="36"/>
      <c r="B91" s="36"/>
      <c r="C91" s="36"/>
      <c r="D91" s="36"/>
      <c r="E91" s="36"/>
      <c r="F91" s="36"/>
      <c r="G91" s="36"/>
      <c r="H91" s="8"/>
    </row>
    <row r="92" spans="1:8" x14ac:dyDescent="0.25">
      <c r="A92" s="36"/>
      <c r="B92" s="36"/>
      <c r="C92" s="36"/>
      <c r="D92" s="36"/>
      <c r="E92" s="36"/>
      <c r="F92" s="36"/>
      <c r="G92" s="36"/>
      <c r="H92" s="8"/>
    </row>
    <row r="93" spans="1:8" x14ac:dyDescent="0.25">
      <c r="A93" s="36"/>
      <c r="B93" s="36"/>
      <c r="C93" s="36"/>
      <c r="D93" s="36"/>
      <c r="E93" s="36"/>
      <c r="F93" s="36"/>
      <c r="G93" s="36"/>
      <c r="H93" s="8"/>
    </row>
    <row r="94" spans="1:8" x14ac:dyDescent="0.25">
      <c r="A94" s="36"/>
      <c r="B94" s="36"/>
      <c r="C94" s="36"/>
      <c r="D94" s="36"/>
      <c r="E94" s="36"/>
      <c r="F94" s="36"/>
      <c r="G94" s="36"/>
      <c r="H94" s="8"/>
    </row>
    <row r="95" spans="1:8" x14ac:dyDescent="0.25">
      <c r="H95" s="8"/>
    </row>
    <row r="96" spans="1:8" x14ac:dyDescent="0.25">
      <c r="H96" s="8"/>
    </row>
  </sheetData>
  <mergeCells count="46">
    <mergeCell ref="F34:G34"/>
    <mergeCell ref="F3:G3"/>
    <mergeCell ref="D3:E3"/>
    <mergeCell ref="D7:E7"/>
    <mergeCell ref="F7:G7"/>
    <mergeCell ref="D6:E6"/>
    <mergeCell ref="F6:G6"/>
    <mergeCell ref="D4:E4"/>
    <mergeCell ref="F4:G4"/>
    <mergeCell ref="B34:E34"/>
    <mergeCell ref="B23:C23"/>
    <mergeCell ref="B24:C24"/>
    <mergeCell ref="B25:C25"/>
    <mergeCell ref="B26:C26"/>
    <mergeCell ref="B27:C27"/>
    <mergeCell ref="B28:C28"/>
    <mergeCell ref="B29:C29"/>
    <mergeCell ref="B30:C30"/>
    <mergeCell ref="B32:C32"/>
    <mergeCell ref="B20:C20"/>
    <mergeCell ref="B12:C12"/>
    <mergeCell ref="B13:C13"/>
    <mergeCell ref="B14:C14"/>
    <mergeCell ref="B15:C15"/>
    <mergeCell ref="B16:C16"/>
    <mergeCell ref="B17:C17"/>
    <mergeCell ref="B18:C18"/>
    <mergeCell ref="B19:C19"/>
    <mergeCell ref="B21:C21"/>
    <mergeCell ref="B22:C22"/>
    <mergeCell ref="B1:G1"/>
    <mergeCell ref="D5:E5"/>
    <mergeCell ref="F5:G5"/>
    <mergeCell ref="A50:G94"/>
    <mergeCell ref="A48:G48"/>
    <mergeCell ref="A49:G49"/>
    <mergeCell ref="F44:G44"/>
    <mergeCell ref="F45:G45"/>
    <mergeCell ref="C44:E44"/>
    <mergeCell ref="C45:E45"/>
    <mergeCell ref="B46:G46"/>
    <mergeCell ref="B42:G42"/>
    <mergeCell ref="D8:E8"/>
    <mergeCell ref="F8:G8"/>
    <mergeCell ref="B37:G40"/>
    <mergeCell ref="B31:C31"/>
  </mergeCells>
  <pageMargins left="0.25" right="0.25" top="0.75" bottom="0.75" header="0.3" footer="0.3"/>
  <pageSetup orientation="portrait" r:id="rId1"/>
  <headerFooter>
    <oddFooter>&amp;C1831 BEVERLY PARK ROAD, BUILDING C * EVERETT, WA 98204 * PHONE: 425.740.3700 * FAX: 425.740.3701</oddFooter>
  </headerFooter>
  <drawing r:id="rId2"/>
  <legacyDrawing r:id="rId3"/>
  <controls>
    <mc:AlternateContent xmlns:mc="http://schemas.openxmlformats.org/markup-compatibility/2006">
      <mc:Choice Requires="x14">
        <control shapeId="7181" r:id="rId4" name="databaseaddbtn">
          <controlPr defaultSize="0" autoLine="0" r:id="rId5">
            <anchor moveWithCells="1">
              <from>
                <xdr:col>8</xdr:col>
                <xdr:colOff>676275</xdr:colOff>
                <xdr:row>7</xdr:row>
                <xdr:rowOff>180975</xdr:rowOff>
              </from>
              <to>
                <xdr:col>10</xdr:col>
                <xdr:colOff>85725</xdr:colOff>
                <xdr:row>11</xdr:row>
                <xdr:rowOff>114300</xdr:rowOff>
              </to>
            </anchor>
          </controlPr>
        </control>
      </mc:Choice>
      <mc:Fallback>
        <control shapeId="7181" r:id="rId4" name="databaseaddbtn"/>
      </mc:Fallback>
    </mc:AlternateContent>
    <mc:AlternateContent xmlns:mc="http://schemas.openxmlformats.org/markup-compatibility/2006">
      <mc:Choice Requires="x14">
        <control shapeId="7179" r:id="rId6" name="submitbtn">
          <controlPr defaultSize="0" autoLine="0" r:id="rId7">
            <anchor moveWithCells="1">
              <from>
                <xdr:col>7</xdr:col>
                <xdr:colOff>1047750</xdr:colOff>
                <xdr:row>7</xdr:row>
                <xdr:rowOff>180975</xdr:rowOff>
              </from>
              <to>
                <xdr:col>8</xdr:col>
                <xdr:colOff>628650</xdr:colOff>
                <xdr:row>11</xdr:row>
                <xdr:rowOff>114300</xdr:rowOff>
              </to>
            </anchor>
          </controlPr>
        </control>
      </mc:Choice>
      <mc:Fallback>
        <control shapeId="7179" r:id="rId6" name="submitbtn"/>
      </mc:Fallback>
    </mc:AlternateContent>
    <mc:AlternateContent xmlns:mc="http://schemas.openxmlformats.org/markup-compatibility/2006">
      <mc:Choice Requires="x14">
        <control shapeId="7178" r:id="rId8" name="clearbtn">
          <controlPr defaultSize="0" autoLine="0" r:id="rId9">
            <anchor moveWithCells="1">
              <from>
                <xdr:col>7</xdr:col>
                <xdr:colOff>47625</xdr:colOff>
                <xdr:row>7</xdr:row>
                <xdr:rowOff>180975</xdr:rowOff>
              </from>
              <to>
                <xdr:col>7</xdr:col>
                <xdr:colOff>1000125</xdr:colOff>
                <xdr:row>11</xdr:row>
                <xdr:rowOff>114300</xdr:rowOff>
              </to>
            </anchor>
          </controlPr>
        </control>
      </mc:Choice>
      <mc:Fallback>
        <control shapeId="7178" r:id="rId8" name="clearbtn"/>
      </mc:Fallback>
    </mc:AlternateContent>
    <mc:AlternateContent xmlns:mc="http://schemas.openxmlformats.org/markup-compatibility/2006">
      <mc:Choice Requires="x14">
        <control shapeId="7170" r:id="rId10" name="ponumberbtn">
          <controlPr defaultSize="0" print="0" autoLine="0" r:id="rId11">
            <anchor moveWithCells="1">
              <from>
                <xdr:col>7</xdr:col>
                <xdr:colOff>38100</xdr:colOff>
                <xdr:row>2</xdr:row>
                <xdr:rowOff>0</xdr:rowOff>
              </from>
              <to>
                <xdr:col>9</xdr:col>
                <xdr:colOff>438150</xdr:colOff>
                <xdr:row>3</xdr:row>
                <xdr:rowOff>0</xdr:rowOff>
              </to>
            </anchor>
          </controlPr>
        </control>
      </mc:Choice>
      <mc:Fallback>
        <control shapeId="7170" r:id="rId10" name="ponumberbtn"/>
      </mc:Fallback>
    </mc:AlternateContent>
    <mc:AlternateContent xmlns:mc="http://schemas.openxmlformats.org/markup-compatibility/2006">
      <mc:Choice Requires="x14">
        <control shapeId="7171" r:id="rId12" name="addmaterialbtn">
          <controlPr defaultSize="0" print="0" autoLine="0" r:id="rId13">
            <anchor moveWithCells="1">
              <from>
                <xdr:col>7</xdr:col>
                <xdr:colOff>38100</xdr:colOff>
                <xdr:row>12</xdr:row>
                <xdr:rowOff>9525</xdr:rowOff>
              </from>
              <to>
                <xdr:col>7</xdr:col>
                <xdr:colOff>1314450</xdr:colOff>
                <xdr:row>14</xdr:row>
                <xdr:rowOff>38100</xdr:rowOff>
              </to>
            </anchor>
          </controlPr>
        </control>
      </mc:Choice>
      <mc:Fallback>
        <control shapeId="7171" r:id="rId12" name="addmaterialbtn"/>
      </mc:Fallback>
    </mc:AlternateContent>
    <mc:AlternateContent xmlns:mc="http://schemas.openxmlformats.org/markup-compatibility/2006">
      <mc:Choice Requires="x14">
        <control shapeId="7173" r:id="rId14" name="peoplecmb">
          <controlPr defaultSize="0" autoLine="0" r:id="rId15">
            <anchor moveWithCells="1">
              <from>
                <xdr:col>7</xdr:col>
                <xdr:colOff>38100</xdr:colOff>
                <xdr:row>3</xdr:row>
                <xdr:rowOff>19050</xdr:rowOff>
              </from>
              <to>
                <xdr:col>9</xdr:col>
                <xdr:colOff>438150</xdr:colOff>
                <xdr:row>4</xdr:row>
                <xdr:rowOff>19050</xdr:rowOff>
              </to>
            </anchor>
          </controlPr>
        </control>
      </mc:Choice>
      <mc:Fallback>
        <control shapeId="7173" r:id="rId14" name="peoplecmb"/>
      </mc:Fallback>
    </mc:AlternateContent>
    <mc:AlternateContent xmlns:mc="http://schemas.openxmlformats.org/markup-compatibility/2006">
      <mc:Choice Requires="x14">
        <control shapeId="7174" r:id="rId16" name="shipcmb">
          <controlPr defaultSize="0" autoLine="0" r:id="rId17">
            <anchor moveWithCells="1">
              <from>
                <xdr:col>7</xdr:col>
                <xdr:colOff>38100</xdr:colOff>
                <xdr:row>6</xdr:row>
                <xdr:rowOff>0</xdr:rowOff>
              </from>
              <to>
                <xdr:col>9</xdr:col>
                <xdr:colOff>438150</xdr:colOff>
                <xdr:row>7</xdr:row>
                <xdr:rowOff>0</xdr:rowOff>
              </to>
            </anchor>
          </controlPr>
        </control>
      </mc:Choice>
      <mc:Fallback>
        <control shapeId="7174" r:id="rId16" name="shipcmb"/>
      </mc:Fallback>
    </mc:AlternateContent>
    <mc:AlternateContent xmlns:mc="http://schemas.openxmlformats.org/markup-compatibility/2006">
      <mc:Choice Requires="x14">
        <control shapeId="7175" r:id="rId18" name="vendorcmb">
          <controlPr defaultSize="0" autoLine="0" r:id="rId19">
            <anchor moveWithCells="1">
              <from>
                <xdr:col>7</xdr:col>
                <xdr:colOff>38100</xdr:colOff>
                <xdr:row>5</xdr:row>
                <xdr:rowOff>0</xdr:rowOff>
              </from>
              <to>
                <xdr:col>9</xdr:col>
                <xdr:colOff>438150</xdr:colOff>
                <xdr:row>6</xdr:row>
                <xdr:rowOff>0</xdr:rowOff>
              </to>
            </anchor>
          </controlPr>
        </control>
      </mc:Choice>
      <mc:Fallback>
        <control shapeId="7175" r:id="rId18" name="vendorcmb"/>
      </mc:Fallback>
    </mc:AlternateContent>
    <mc:AlternateContent xmlns:mc="http://schemas.openxmlformats.org/markup-compatibility/2006">
      <mc:Choice Requires="x14">
        <control shapeId="7176" r:id="rId20" name="projectbtn">
          <controlPr defaultSize="0" print="0" autoLine="0" r:id="rId21">
            <anchor moveWithCells="1">
              <from>
                <xdr:col>7</xdr:col>
                <xdr:colOff>38100</xdr:colOff>
                <xdr:row>4</xdr:row>
                <xdr:rowOff>9525</xdr:rowOff>
              </from>
              <to>
                <xdr:col>9</xdr:col>
                <xdr:colOff>438150</xdr:colOff>
                <xdr:row>5</xdr:row>
                <xdr:rowOff>9525</xdr:rowOff>
              </to>
            </anchor>
          </controlPr>
        </control>
      </mc:Choice>
      <mc:Fallback>
        <control shapeId="7176" r:id="rId20" name="projectbtn"/>
      </mc:Fallback>
    </mc:AlternateContent>
    <mc:AlternateContent xmlns:mc="http://schemas.openxmlformats.org/markup-compatibility/2006">
      <mc:Choice Requires="x14">
        <control shapeId="7177" r:id="rId22" name="addotherbtn">
          <controlPr defaultSize="0" print="0" autoLine="0" r:id="rId23">
            <anchor moveWithCells="1">
              <from>
                <xdr:col>7</xdr:col>
                <xdr:colOff>38100</xdr:colOff>
                <xdr:row>14</xdr:row>
                <xdr:rowOff>152400</xdr:rowOff>
              </from>
              <to>
                <xdr:col>7</xdr:col>
                <xdr:colOff>1314450</xdr:colOff>
                <xdr:row>16</xdr:row>
                <xdr:rowOff>180975</xdr:rowOff>
              </to>
            </anchor>
          </controlPr>
        </control>
      </mc:Choice>
      <mc:Fallback>
        <control shapeId="7177" r:id="rId22" name="addotherbtn"/>
      </mc:Fallback>
    </mc:AlternateContent>
    <mc:AlternateContent xmlns:mc="http://schemas.openxmlformats.org/markup-compatibility/2006">
      <mc:Choice Requires="x14">
        <control shapeId="7182" r:id="rId24" name="helpbutton">
          <controlPr defaultSize="0" autoLine="0" r:id="rId25">
            <anchor moveWithCells="1">
              <from>
                <xdr:col>10</xdr:col>
                <xdr:colOff>9525</xdr:colOff>
                <xdr:row>2</xdr:row>
                <xdr:rowOff>19050</xdr:rowOff>
              </from>
              <to>
                <xdr:col>11</xdr:col>
                <xdr:colOff>9525</xdr:colOff>
                <xdr:row>3</xdr:row>
                <xdr:rowOff>142875</xdr:rowOff>
              </to>
            </anchor>
          </controlPr>
        </control>
      </mc:Choice>
      <mc:Fallback>
        <control shapeId="7182" r:id="rId24" name="helpbutt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Z58"/>
  <sheetViews>
    <sheetView workbookViewId="0">
      <selection activeCell="F70" sqref="F70"/>
    </sheetView>
  </sheetViews>
  <sheetFormatPr defaultRowHeight="15" x14ac:dyDescent="0.25"/>
  <cols>
    <col min="1" max="1" width="5.140625" bestFit="1" customWidth="1"/>
    <col min="2" max="2" width="21" bestFit="1" customWidth="1"/>
    <col min="3" max="3" width="21.7109375" bestFit="1" customWidth="1"/>
    <col min="4" max="4" width="12.28515625" bestFit="1" customWidth="1"/>
    <col min="5" max="5" width="8.5703125" bestFit="1" customWidth="1"/>
    <col min="6" max="6" width="11.7109375" bestFit="1" customWidth="1"/>
    <col min="7" max="7" width="6" bestFit="1" customWidth="1"/>
    <col min="8" max="8" width="53.85546875" bestFit="1" customWidth="1"/>
    <col min="9" max="10" width="14.28515625" bestFit="1" customWidth="1"/>
    <col min="11" max="11" width="17" bestFit="1" customWidth="1"/>
    <col min="12" max="13" width="11.140625" bestFit="1" customWidth="1"/>
  </cols>
  <sheetData>
    <row r="1" spans="1:702" x14ac:dyDescent="0.25">
      <c r="A1" t="s">
        <v>39</v>
      </c>
      <c r="B1" t="s">
        <v>45</v>
      </c>
      <c r="C1" t="s">
        <v>187</v>
      </c>
      <c r="D1" t="s">
        <v>188</v>
      </c>
      <c r="E1" t="s">
        <v>189</v>
      </c>
      <c r="F1" t="s">
        <v>190</v>
      </c>
      <c r="G1" t="s">
        <v>191</v>
      </c>
      <c r="H1" t="s">
        <v>192</v>
      </c>
      <c r="I1" t="s">
        <v>193</v>
      </c>
      <c r="J1" t="s">
        <v>194</v>
      </c>
      <c r="K1" t="s">
        <v>195</v>
      </c>
    </row>
    <row r="2" spans="1:702" x14ac:dyDescent="0.25">
      <c r="A2">
        <v>1</v>
      </c>
      <c r="B2" t="s">
        <v>135</v>
      </c>
      <c r="C2" t="s">
        <v>196</v>
      </c>
      <c r="D2" t="s">
        <v>197</v>
      </c>
      <c r="E2" t="s">
        <v>198</v>
      </c>
      <c r="F2" t="s">
        <v>199</v>
      </c>
      <c r="G2" t="s">
        <v>200</v>
      </c>
      <c r="H2" t="s">
        <v>201</v>
      </c>
      <c r="K2" t="s">
        <v>202</v>
      </c>
      <c r="ZZ2" t="s">
        <v>135</v>
      </c>
    </row>
    <row r="3" spans="1:702" x14ac:dyDescent="0.25">
      <c r="A3">
        <v>2</v>
      </c>
      <c r="B3" t="s">
        <v>136</v>
      </c>
      <c r="E3" t="s">
        <v>203</v>
      </c>
      <c r="F3" t="s">
        <v>204</v>
      </c>
      <c r="H3" t="s">
        <v>205</v>
      </c>
      <c r="I3" t="s">
        <v>206</v>
      </c>
      <c r="J3" t="s">
        <v>207</v>
      </c>
      <c r="K3" t="s">
        <v>202</v>
      </c>
      <c r="ZZ3" t="s">
        <v>136</v>
      </c>
    </row>
    <row r="4" spans="1:702" x14ac:dyDescent="0.25">
      <c r="A4">
        <v>3</v>
      </c>
      <c r="B4" t="s">
        <v>137</v>
      </c>
      <c r="C4" t="s">
        <v>208</v>
      </c>
      <c r="E4" t="s">
        <v>209</v>
      </c>
      <c r="F4" t="s">
        <v>210</v>
      </c>
      <c r="G4" t="s">
        <v>211</v>
      </c>
      <c r="H4" t="s">
        <v>212</v>
      </c>
      <c r="I4" t="s">
        <v>213</v>
      </c>
      <c r="J4" t="s">
        <v>214</v>
      </c>
      <c r="K4" t="s">
        <v>202</v>
      </c>
      <c r="ZZ4" t="s">
        <v>137</v>
      </c>
    </row>
    <row r="5" spans="1:702" x14ac:dyDescent="0.25">
      <c r="A5">
        <v>4</v>
      </c>
      <c r="B5" t="s">
        <v>138</v>
      </c>
      <c r="C5" t="s">
        <v>215</v>
      </c>
      <c r="E5" t="s">
        <v>216</v>
      </c>
      <c r="F5" t="s">
        <v>217</v>
      </c>
      <c r="H5" t="s">
        <v>218</v>
      </c>
      <c r="I5" t="s">
        <v>219</v>
      </c>
      <c r="J5" t="s">
        <v>220</v>
      </c>
      <c r="K5" t="s">
        <v>221</v>
      </c>
      <c r="ZZ5" t="s">
        <v>138</v>
      </c>
    </row>
    <row r="6" spans="1:702" x14ac:dyDescent="0.25">
      <c r="A6">
        <v>5</v>
      </c>
      <c r="B6" t="s">
        <v>139</v>
      </c>
      <c r="C6" t="s">
        <v>222</v>
      </c>
      <c r="E6" t="s">
        <v>223</v>
      </c>
      <c r="F6" t="s">
        <v>224</v>
      </c>
      <c r="G6" t="s">
        <v>225</v>
      </c>
      <c r="H6" t="s">
        <v>226</v>
      </c>
      <c r="I6" t="s">
        <v>227</v>
      </c>
      <c r="K6" t="s">
        <v>202</v>
      </c>
      <c r="ZZ6" t="s">
        <v>139</v>
      </c>
    </row>
    <row r="7" spans="1:702" x14ac:dyDescent="0.25">
      <c r="A7">
        <v>6</v>
      </c>
      <c r="B7" t="s">
        <v>140</v>
      </c>
      <c r="H7" t="s">
        <v>228</v>
      </c>
      <c r="ZZ7" t="s">
        <v>140</v>
      </c>
    </row>
    <row r="8" spans="1:702" x14ac:dyDescent="0.25">
      <c r="A8">
        <v>7</v>
      </c>
      <c r="B8" t="s">
        <v>141</v>
      </c>
      <c r="ZZ8" t="s">
        <v>141</v>
      </c>
    </row>
    <row r="9" spans="1:702" x14ac:dyDescent="0.25">
      <c r="A9">
        <v>8</v>
      </c>
      <c r="B9" t="s">
        <v>142</v>
      </c>
      <c r="ZZ9" t="s">
        <v>142</v>
      </c>
    </row>
    <row r="10" spans="1:702" x14ac:dyDescent="0.25">
      <c r="A10">
        <v>9</v>
      </c>
      <c r="B10" t="s">
        <v>143</v>
      </c>
      <c r="ZZ10" t="s">
        <v>143</v>
      </c>
    </row>
    <row r="11" spans="1:702" x14ac:dyDescent="0.25">
      <c r="A11">
        <v>10</v>
      </c>
      <c r="B11" t="s">
        <v>144</v>
      </c>
      <c r="ZZ11" t="s">
        <v>144</v>
      </c>
    </row>
    <row r="12" spans="1:702" x14ac:dyDescent="0.25">
      <c r="A12">
        <v>11</v>
      </c>
      <c r="B12" t="s">
        <v>229</v>
      </c>
      <c r="ZZ12" t="s">
        <v>229</v>
      </c>
    </row>
    <row r="13" spans="1:702" x14ac:dyDescent="0.25">
      <c r="A13">
        <v>12</v>
      </c>
      <c r="B13" t="s">
        <v>145</v>
      </c>
      <c r="H13" t="s">
        <v>230</v>
      </c>
      <c r="ZZ13" t="s">
        <v>145</v>
      </c>
    </row>
    <row r="14" spans="1:702" x14ac:dyDescent="0.25">
      <c r="A14">
        <v>13</v>
      </c>
      <c r="B14" t="s">
        <v>146</v>
      </c>
      <c r="ZZ14" t="s">
        <v>146</v>
      </c>
    </row>
    <row r="15" spans="1:702" x14ac:dyDescent="0.25">
      <c r="A15">
        <v>14</v>
      </c>
      <c r="B15" t="s">
        <v>147</v>
      </c>
      <c r="ZZ15" t="s">
        <v>147</v>
      </c>
    </row>
    <row r="16" spans="1:702" x14ac:dyDescent="0.25">
      <c r="A16">
        <v>15</v>
      </c>
      <c r="B16" t="s">
        <v>148</v>
      </c>
      <c r="ZZ16" t="s">
        <v>148</v>
      </c>
    </row>
    <row r="17" spans="1:702" x14ac:dyDescent="0.25">
      <c r="A17">
        <v>16</v>
      </c>
      <c r="B17" t="s">
        <v>149</v>
      </c>
      <c r="ZZ17" t="s">
        <v>149</v>
      </c>
    </row>
    <row r="18" spans="1:702" x14ac:dyDescent="0.25">
      <c r="A18">
        <v>17</v>
      </c>
      <c r="B18" t="s">
        <v>150</v>
      </c>
      <c r="ZZ18" t="s">
        <v>150</v>
      </c>
    </row>
    <row r="19" spans="1:702" x14ac:dyDescent="0.25">
      <c r="A19">
        <v>18</v>
      </c>
      <c r="B19" t="s">
        <v>151</v>
      </c>
      <c r="ZZ19" t="s">
        <v>151</v>
      </c>
    </row>
    <row r="20" spans="1:702" x14ac:dyDescent="0.25">
      <c r="A20">
        <v>19</v>
      </c>
      <c r="B20" t="s">
        <v>152</v>
      </c>
      <c r="ZZ20" t="s">
        <v>152</v>
      </c>
    </row>
    <row r="21" spans="1:702" x14ac:dyDescent="0.25">
      <c r="A21">
        <v>20</v>
      </c>
      <c r="B21" t="s">
        <v>153</v>
      </c>
      <c r="ZZ21" t="s">
        <v>153</v>
      </c>
    </row>
    <row r="22" spans="1:702" x14ac:dyDescent="0.25">
      <c r="A22">
        <v>21</v>
      </c>
      <c r="B22" t="s">
        <v>154</v>
      </c>
      <c r="ZZ22" t="s">
        <v>154</v>
      </c>
    </row>
    <row r="23" spans="1:702" x14ac:dyDescent="0.25">
      <c r="A23">
        <v>22</v>
      </c>
      <c r="B23" t="s">
        <v>155</v>
      </c>
      <c r="ZZ23" t="s">
        <v>155</v>
      </c>
    </row>
    <row r="24" spans="1:702" x14ac:dyDescent="0.25">
      <c r="A24">
        <v>23</v>
      </c>
      <c r="B24" t="s">
        <v>156</v>
      </c>
      <c r="ZZ24" t="s">
        <v>156</v>
      </c>
    </row>
    <row r="25" spans="1:702" x14ac:dyDescent="0.25">
      <c r="A25">
        <v>24</v>
      </c>
      <c r="B25" t="s">
        <v>157</v>
      </c>
      <c r="ZZ25" t="s">
        <v>157</v>
      </c>
    </row>
    <row r="26" spans="1:702" x14ac:dyDescent="0.25">
      <c r="A26">
        <v>25</v>
      </c>
      <c r="B26" t="s">
        <v>158</v>
      </c>
      <c r="ZZ26" t="s">
        <v>158</v>
      </c>
    </row>
    <row r="27" spans="1:702" x14ac:dyDescent="0.25">
      <c r="A27">
        <v>26</v>
      </c>
      <c r="B27" t="s">
        <v>159</v>
      </c>
      <c r="ZZ27" t="s">
        <v>159</v>
      </c>
    </row>
    <row r="28" spans="1:702" x14ac:dyDescent="0.25">
      <c r="A28">
        <v>27</v>
      </c>
      <c r="B28" t="s">
        <v>160</v>
      </c>
      <c r="ZZ28" t="s">
        <v>160</v>
      </c>
    </row>
    <row r="29" spans="1:702" x14ac:dyDescent="0.25">
      <c r="A29">
        <v>28</v>
      </c>
      <c r="B29" t="s">
        <v>161</v>
      </c>
      <c r="ZZ29" t="s">
        <v>161</v>
      </c>
    </row>
    <row r="30" spans="1:702" x14ac:dyDescent="0.25">
      <c r="A30">
        <v>29</v>
      </c>
      <c r="B30" t="s">
        <v>162</v>
      </c>
      <c r="ZZ30" t="s">
        <v>162</v>
      </c>
    </row>
    <row r="31" spans="1:702" x14ac:dyDescent="0.25">
      <c r="A31">
        <v>30</v>
      </c>
      <c r="B31" t="s">
        <v>163</v>
      </c>
      <c r="ZZ31" t="s">
        <v>163</v>
      </c>
    </row>
    <row r="32" spans="1:702" x14ac:dyDescent="0.25">
      <c r="A32">
        <v>31</v>
      </c>
      <c r="B32" t="s">
        <v>164</v>
      </c>
      <c r="ZZ32" t="s">
        <v>164</v>
      </c>
    </row>
    <row r="33" spans="1:702" x14ac:dyDescent="0.25">
      <c r="A33">
        <v>32</v>
      </c>
      <c r="B33" t="s">
        <v>38</v>
      </c>
      <c r="ZZ33" t="s">
        <v>38</v>
      </c>
    </row>
    <row r="34" spans="1:702" x14ac:dyDescent="0.25">
      <c r="A34">
        <v>33</v>
      </c>
      <c r="B34" t="s">
        <v>165</v>
      </c>
      <c r="ZZ34" t="s">
        <v>165</v>
      </c>
    </row>
    <row r="35" spans="1:702" x14ac:dyDescent="0.25">
      <c r="A35">
        <v>34</v>
      </c>
      <c r="B35" t="s">
        <v>166</v>
      </c>
      <c r="ZZ35" t="s">
        <v>166</v>
      </c>
    </row>
    <row r="36" spans="1:702" x14ac:dyDescent="0.25">
      <c r="A36">
        <v>35</v>
      </c>
      <c r="B36" t="s">
        <v>167</v>
      </c>
      <c r="ZZ36" t="s">
        <v>167</v>
      </c>
    </row>
    <row r="37" spans="1:702" x14ac:dyDescent="0.25">
      <c r="A37">
        <v>36</v>
      </c>
      <c r="B37" t="s">
        <v>168</v>
      </c>
      <c r="ZZ37" t="s">
        <v>168</v>
      </c>
    </row>
    <row r="38" spans="1:702" x14ac:dyDescent="0.25">
      <c r="A38">
        <v>37</v>
      </c>
      <c r="B38" t="s">
        <v>169</v>
      </c>
      <c r="ZZ38" t="s">
        <v>169</v>
      </c>
    </row>
    <row r="39" spans="1:702" x14ac:dyDescent="0.25">
      <c r="A39">
        <v>38</v>
      </c>
      <c r="B39" t="s">
        <v>170</v>
      </c>
      <c r="ZZ39" t="s">
        <v>170</v>
      </c>
    </row>
    <row r="40" spans="1:702" x14ac:dyDescent="0.25">
      <c r="A40">
        <v>39</v>
      </c>
      <c r="B40" t="s">
        <v>171</v>
      </c>
      <c r="ZZ40" t="s">
        <v>171</v>
      </c>
    </row>
    <row r="41" spans="1:702" x14ac:dyDescent="0.25">
      <c r="A41">
        <v>40</v>
      </c>
      <c r="B41" t="s">
        <v>172</v>
      </c>
      <c r="ZZ41" t="s">
        <v>172</v>
      </c>
    </row>
    <row r="42" spans="1:702" x14ac:dyDescent="0.25">
      <c r="A42">
        <v>41</v>
      </c>
      <c r="B42" t="s">
        <v>173</v>
      </c>
      <c r="ZZ42" t="s">
        <v>173</v>
      </c>
    </row>
    <row r="43" spans="1:702" x14ac:dyDescent="0.25">
      <c r="A43">
        <v>42</v>
      </c>
      <c r="B43" t="s">
        <v>174</v>
      </c>
      <c r="ZZ43" t="s">
        <v>174</v>
      </c>
    </row>
    <row r="44" spans="1:702" x14ac:dyDescent="0.25">
      <c r="A44">
        <v>43</v>
      </c>
      <c r="B44" t="s">
        <v>175</v>
      </c>
      <c r="ZZ44" t="s">
        <v>175</v>
      </c>
    </row>
    <row r="45" spans="1:702" x14ac:dyDescent="0.25">
      <c r="A45">
        <v>44</v>
      </c>
      <c r="B45" t="s">
        <v>176</v>
      </c>
      <c r="ZZ45" t="s">
        <v>176</v>
      </c>
    </row>
    <row r="46" spans="1:702" x14ac:dyDescent="0.25">
      <c r="A46">
        <v>45</v>
      </c>
      <c r="B46" t="s">
        <v>177</v>
      </c>
      <c r="ZZ46" t="s">
        <v>177</v>
      </c>
    </row>
    <row r="47" spans="1:702" x14ac:dyDescent="0.25">
      <c r="A47">
        <v>46</v>
      </c>
      <c r="B47" t="s">
        <v>178</v>
      </c>
      <c r="ZZ47" t="s">
        <v>178</v>
      </c>
    </row>
    <row r="48" spans="1:702" x14ac:dyDescent="0.25">
      <c r="A48">
        <v>47</v>
      </c>
      <c r="B48" t="s">
        <v>179</v>
      </c>
      <c r="ZZ48" t="s">
        <v>179</v>
      </c>
    </row>
    <row r="49" spans="1:702" x14ac:dyDescent="0.25">
      <c r="A49">
        <v>48</v>
      </c>
      <c r="B49" t="s">
        <v>180</v>
      </c>
      <c r="ZZ49" t="s">
        <v>180</v>
      </c>
    </row>
    <row r="50" spans="1:702" x14ac:dyDescent="0.25">
      <c r="A50">
        <v>49</v>
      </c>
      <c r="B50" t="s">
        <v>181</v>
      </c>
      <c r="ZZ50" t="s">
        <v>181</v>
      </c>
    </row>
    <row r="51" spans="1:702" x14ac:dyDescent="0.25">
      <c r="A51">
        <v>50</v>
      </c>
      <c r="B51" t="s">
        <v>182</v>
      </c>
      <c r="ZZ51" t="s">
        <v>182</v>
      </c>
    </row>
    <row r="52" spans="1:702" x14ac:dyDescent="0.25">
      <c r="A52">
        <v>51</v>
      </c>
      <c r="B52" t="s">
        <v>183</v>
      </c>
      <c r="ZZ52" t="s">
        <v>183</v>
      </c>
    </row>
    <row r="53" spans="1:702" x14ac:dyDescent="0.25">
      <c r="A53">
        <v>52</v>
      </c>
      <c r="B53" t="s">
        <v>184</v>
      </c>
      <c r="ZZ53" t="s">
        <v>184</v>
      </c>
    </row>
    <row r="54" spans="1:702" x14ac:dyDescent="0.25">
      <c r="A54">
        <v>53</v>
      </c>
      <c r="B54" t="s">
        <v>185</v>
      </c>
      <c r="ZZ54" t="s">
        <v>185</v>
      </c>
    </row>
    <row r="55" spans="1:702" x14ac:dyDescent="0.25">
      <c r="A55">
        <v>54</v>
      </c>
      <c r="B55" t="s">
        <v>186</v>
      </c>
      <c r="ZZ55" t="s">
        <v>186</v>
      </c>
    </row>
    <row r="56" spans="1:702" x14ac:dyDescent="0.25">
      <c r="A56">
        <v>55</v>
      </c>
      <c r="B56" t="s">
        <v>231</v>
      </c>
      <c r="C56" t="s">
        <v>232</v>
      </c>
      <c r="E56" t="s">
        <v>203</v>
      </c>
      <c r="F56" t="s">
        <v>233</v>
      </c>
      <c r="G56" t="s">
        <v>234</v>
      </c>
      <c r="H56" t="s">
        <v>235</v>
      </c>
      <c r="I56" t="s">
        <v>236</v>
      </c>
      <c r="J56" t="s">
        <v>237</v>
      </c>
      <c r="ZZ56" t="s">
        <v>231</v>
      </c>
    </row>
    <row r="57" spans="1:702" x14ac:dyDescent="0.25">
      <c r="A57">
        <v>56</v>
      </c>
      <c r="B57" t="s">
        <v>238</v>
      </c>
      <c r="ZZ57" t="s">
        <v>238</v>
      </c>
    </row>
    <row r="58" spans="1:702" x14ac:dyDescent="0.25">
      <c r="A58">
        <v>57</v>
      </c>
      <c r="B58" t="s">
        <v>53</v>
      </c>
      <c r="ZZ58" t="s">
        <v>53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0"/>
  <sheetViews>
    <sheetView workbookViewId="0">
      <selection activeCell="A21" sqref="A21:K65"/>
    </sheetView>
  </sheetViews>
  <sheetFormatPr defaultRowHeight="15" x14ac:dyDescent="0.25"/>
  <cols>
    <col min="1" max="1" width="5.140625" customWidth="1"/>
    <col min="2" max="2" width="17.7109375" customWidth="1"/>
  </cols>
  <sheetData>
    <row r="1" spans="1:2" x14ac:dyDescent="0.25">
      <c r="A1" t="s">
        <v>39</v>
      </c>
      <c r="B1" t="s">
        <v>40</v>
      </c>
    </row>
    <row r="2" spans="1:2" x14ac:dyDescent="0.25">
      <c r="A2">
        <v>9</v>
      </c>
      <c r="B2" t="s">
        <v>525</v>
      </c>
    </row>
    <row r="3" spans="1:2" x14ac:dyDescent="0.25">
      <c r="A3">
        <v>1</v>
      </c>
      <c r="B3" t="s">
        <v>481</v>
      </c>
    </row>
    <row r="4" spans="1:2" x14ac:dyDescent="0.25">
      <c r="A4">
        <v>2</v>
      </c>
      <c r="B4" t="s">
        <v>41</v>
      </c>
    </row>
    <row r="5" spans="1:2" x14ac:dyDescent="0.25">
      <c r="A5">
        <v>3</v>
      </c>
      <c r="B5" t="s">
        <v>482</v>
      </c>
    </row>
    <row r="6" spans="1:2" x14ac:dyDescent="0.25">
      <c r="A6">
        <v>4</v>
      </c>
      <c r="B6" t="s">
        <v>462</v>
      </c>
    </row>
    <row r="7" spans="1:2" x14ac:dyDescent="0.25">
      <c r="A7">
        <v>5</v>
      </c>
      <c r="B7" t="s">
        <v>42</v>
      </c>
    </row>
    <row r="8" spans="1:2" x14ac:dyDescent="0.25">
      <c r="A8">
        <v>6</v>
      </c>
      <c r="B8" t="s">
        <v>43</v>
      </c>
    </row>
    <row r="9" spans="1:2" x14ac:dyDescent="0.25">
      <c r="A9">
        <v>7</v>
      </c>
      <c r="B9" t="s">
        <v>463</v>
      </c>
    </row>
    <row r="10" spans="1:2" x14ac:dyDescent="0.25">
      <c r="A10">
        <v>8</v>
      </c>
      <c r="B10" t="s">
        <v>44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46"/>
  <sheetViews>
    <sheetView topLeftCell="A307" workbookViewId="0">
      <selection activeCell="A21" sqref="A21:K65"/>
    </sheetView>
  </sheetViews>
  <sheetFormatPr defaultRowHeight="15" x14ac:dyDescent="0.25"/>
  <cols>
    <col min="1" max="1" width="5.140625" bestFit="1" customWidth="1"/>
    <col min="2" max="2" width="27.85546875" bestFit="1" customWidth="1"/>
    <col min="3" max="3" width="17.5703125" bestFit="1" customWidth="1"/>
    <col min="4" max="4" width="27.5703125" bestFit="1" customWidth="1"/>
    <col min="5" max="5" width="19.140625" bestFit="1" customWidth="1"/>
  </cols>
  <sheetData>
    <row r="1" spans="1:4" x14ac:dyDescent="0.25">
      <c r="A1" t="s">
        <v>39</v>
      </c>
      <c r="B1" t="s">
        <v>10</v>
      </c>
      <c r="C1" t="s">
        <v>45</v>
      </c>
      <c r="D1" t="s">
        <v>133</v>
      </c>
    </row>
    <row r="2" spans="1:4" x14ac:dyDescent="0.25">
      <c r="A2">
        <v>332</v>
      </c>
      <c r="B2" t="s">
        <v>487</v>
      </c>
      <c r="C2" t="s">
        <v>53</v>
      </c>
    </row>
    <row r="3" spans="1:4" x14ac:dyDescent="0.25">
      <c r="A3">
        <v>333</v>
      </c>
      <c r="B3" t="s">
        <v>488</v>
      </c>
      <c r="C3" t="s">
        <v>53</v>
      </c>
    </row>
    <row r="4" spans="1:4" x14ac:dyDescent="0.25">
      <c r="A4">
        <v>334</v>
      </c>
      <c r="B4" t="s">
        <v>373</v>
      </c>
      <c r="C4" t="s">
        <v>53</v>
      </c>
    </row>
    <row r="5" spans="1:4" x14ac:dyDescent="0.25">
      <c r="A5">
        <v>335</v>
      </c>
      <c r="B5" t="s">
        <v>489</v>
      </c>
      <c r="C5" t="s">
        <v>53</v>
      </c>
    </row>
    <row r="6" spans="1:4" x14ac:dyDescent="0.25">
      <c r="A6">
        <v>336</v>
      </c>
      <c r="B6" t="s">
        <v>490</v>
      </c>
      <c r="C6" t="s">
        <v>53</v>
      </c>
    </row>
    <row r="7" spans="1:4" x14ac:dyDescent="0.25">
      <c r="A7">
        <v>337</v>
      </c>
      <c r="B7" t="s">
        <v>491</v>
      </c>
      <c r="C7" t="s">
        <v>53</v>
      </c>
    </row>
    <row r="8" spans="1:4" x14ac:dyDescent="0.25">
      <c r="A8">
        <v>338</v>
      </c>
      <c r="B8" t="s">
        <v>492</v>
      </c>
      <c r="C8" t="s">
        <v>53</v>
      </c>
    </row>
    <row r="9" spans="1:4" x14ac:dyDescent="0.25">
      <c r="A9">
        <v>339</v>
      </c>
      <c r="B9" t="s">
        <v>493</v>
      </c>
      <c r="C9" t="s">
        <v>53</v>
      </c>
    </row>
    <row r="10" spans="1:4" x14ac:dyDescent="0.25">
      <c r="A10">
        <v>340</v>
      </c>
      <c r="B10" t="s">
        <v>345</v>
      </c>
      <c r="C10" t="s">
        <v>53</v>
      </c>
    </row>
    <row r="11" spans="1:4" x14ac:dyDescent="0.25">
      <c r="A11">
        <v>341</v>
      </c>
      <c r="B11" t="s">
        <v>494</v>
      </c>
      <c r="C11" t="s">
        <v>53</v>
      </c>
    </row>
    <row r="12" spans="1:4" x14ac:dyDescent="0.25">
      <c r="A12">
        <v>342</v>
      </c>
      <c r="B12" t="s">
        <v>311</v>
      </c>
      <c r="C12" t="s">
        <v>53</v>
      </c>
    </row>
    <row r="13" spans="1:4" x14ac:dyDescent="0.25">
      <c r="A13">
        <v>343</v>
      </c>
      <c r="B13" t="s">
        <v>495</v>
      </c>
      <c r="C13" t="s">
        <v>53</v>
      </c>
    </row>
    <row r="14" spans="1:4" x14ac:dyDescent="0.25">
      <c r="A14">
        <v>344</v>
      </c>
      <c r="B14" t="s">
        <v>78</v>
      </c>
      <c r="C14" t="s">
        <v>53</v>
      </c>
    </row>
    <row r="15" spans="1:4" x14ac:dyDescent="0.25">
      <c r="A15">
        <v>345</v>
      </c>
      <c r="B15" t="s">
        <v>496</v>
      </c>
      <c r="C15" t="s">
        <v>53</v>
      </c>
    </row>
    <row r="16" spans="1:4" x14ac:dyDescent="0.25">
      <c r="A16">
        <v>327</v>
      </c>
      <c r="B16" t="s">
        <v>497</v>
      </c>
      <c r="C16" t="s">
        <v>53</v>
      </c>
    </row>
    <row r="17" spans="1:4" x14ac:dyDescent="0.25">
      <c r="A17">
        <v>328</v>
      </c>
      <c r="B17" t="s">
        <v>498</v>
      </c>
      <c r="C17" t="s">
        <v>53</v>
      </c>
    </row>
    <row r="18" spans="1:4" x14ac:dyDescent="0.25">
      <c r="A18">
        <v>329</v>
      </c>
      <c r="B18" t="s">
        <v>499</v>
      </c>
      <c r="C18" t="s">
        <v>53</v>
      </c>
    </row>
    <row r="19" spans="1:4" x14ac:dyDescent="0.25">
      <c r="A19">
        <v>330</v>
      </c>
      <c r="B19" t="s">
        <v>500</v>
      </c>
      <c r="C19" t="s">
        <v>53</v>
      </c>
    </row>
    <row r="20" spans="1:4" x14ac:dyDescent="0.25">
      <c r="A20">
        <v>331</v>
      </c>
      <c r="B20" t="s">
        <v>501</v>
      </c>
      <c r="C20" t="s">
        <v>53</v>
      </c>
    </row>
    <row r="21" spans="1:4" x14ac:dyDescent="0.25">
      <c r="A21">
        <v>278</v>
      </c>
      <c r="B21" t="s">
        <v>239</v>
      </c>
      <c r="C21" t="s">
        <v>240</v>
      </c>
      <c r="D21" t="s">
        <v>241</v>
      </c>
    </row>
    <row r="22" spans="1:4" x14ac:dyDescent="0.25">
      <c r="A22">
        <v>279</v>
      </c>
      <c r="B22" t="s">
        <v>75</v>
      </c>
      <c r="C22" t="s">
        <v>240</v>
      </c>
      <c r="D22" t="s">
        <v>241</v>
      </c>
    </row>
    <row r="23" spans="1:4" x14ac:dyDescent="0.25">
      <c r="A23">
        <v>280</v>
      </c>
      <c r="B23" t="s">
        <v>242</v>
      </c>
      <c r="C23" t="s">
        <v>240</v>
      </c>
      <c r="D23" t="s">
        <v>241</v>
      </c>
    </row>
    <row r="24" spans="1:4" x14ac:dyDescent="0.25">
      <c r="A24">
        <v>281</v>
      </c>
      <c r="B24" t="s">
        <v>243</v>
      </c>
      <c r="C24" t="s">
        <v>240</v>
      </c>
      <c r="D24" t="s">
        <v>241</v>
      </c>
    </row>
    <row r="25" spans="1:4" x14ac:dyDescent="0.25">
      <c r="A25">
        <v>282</v>
      </c>
      <c r="B25" t="s">
        <v>244</v>
      </c>
      <c r="C25" t="s">
        <v>240</v>
      </c>
      <c r="D25" t="s">
        <v>241</v>
      </c>
    </row>
    <row r="26" spans="1:4" x14ac:dyDescent="0.25">
      <c r="A26">
        <v>283</v>
      </c>
      <c r="B26" t="s">
        <v>245</v>
      </c>
      <c r="C26" t="s">
        <v>240</v>
      </c>
      <c r="D26" t="s">
        <v>241</v>
      </c>
    </row>
    <row r="27" spans="1:4" x14ac:dyDescent="0.25">
      <c r="A27">
        <v>284</v>
      </c>
      <c r="B27" t="s">
        <v>246</v>
      </c>
      <c r="C27" t="s">
        <v>240</v>
      </c>
      <c r="D27" t="s">
        <v>247</v>
      </c>
    </row>
    <row r="28" spans="1:4" x14ac:dyDescent="0.25">
      <c r="A28">
        <v>285</v>
      </c>
      <c r="B28" t="s">
        <v>248</v>
      </c>
      <c r="C28" t="s">
        <v>240</v>
      </c>
      <c r="D28" t="s">
        <v>247</v>
      </c>
    </row>
    <row r="29" spans="1:4" x14ac:dyDescent="0.25">
      <c r="A29">
        <v>286</v>
      </c>
      <c r="B29" t="s">
        <v>79</v>
      </c>
      <c r="C29" t="s">
        <v>240</v>
      </c>
      <c r="D29" t="s">
        <v>247</v>
      </c>
    </row>
    <row r="30" spans="1:4" x14ac:dyDescent="0.25">
      <c r="A30">
        <v>287</v>
      </c>
      <c r="B30" t="s">
        <v>249</v>
      </c>
      <c r="C30" t="s">
        <v>240</v>
      </c>
      <c r="D30" t="s">
        <v>247</v>
      </c>
    </row>
    <row r="31" spans="1:4" x14ac:dyDescent="0.25">
      <c r="A31">
        <v>288</v>
      </c>
      <c r="B31" t="s">
        <v>250</v>
      </c>
      <c r="C31" t="s">
        <v>240</v>
      </c>
      <c r="D31" t="s">
        <v>251</v>
      </c>
    </row>
    <row r="32" spans="1:4" x14ac:dyDescent="0.25">
      <c r="A32">
        <v>289</v>
      </c>
      <c r="B32" t="s">
        <v>252</v>
      </c>
      <c r="C32" t="s">
        <v>240</v>
      </c>
      <c r="D32" t="s">
        <v>251</v>
      </c>
    </row>
    <row r="33" spans="1:4" x14ac:dyDescent="0.25">
      <c r="A33">
        <v>290</v>
      </c>
      <c r="B33" t="s">
        <v>253</v>
      </c>
      <c r="C33" t="s">
        <v>240</v>
      </c>
      <c r="D33" t="s">
        <v>251</v>
      </c>
    </row>
    <row r="34" spans="1:4" x14ac:dyDescent="0.25">
      <c r="A34">
        <v>291</v>
      </c>
      <c r="B34" t="s">
        <v>254</v>
      </c>
      <c r="C34" t="s">
        <v>240</v>
      </c>
      <c r="D34" t="s">
        <v>251</v>
      </c>
    </row>
    <row r="35" spans="1:4" x14ac:dyDescent="0.25">
      <c r="A35">
        <v>292</v>
      </c>
      <c r="B35" t="s">
        <v>255</v>
      </c>
      <c r="C35" t="s">
        <v>240</v>
      </c>
      <c r="D35" t="s">
        <v>251</v>
      </c>
    </row>
    <row r="36" spans="1:4" x14ac:dyDescent="0.25">
      <c r="A36">
        <v>293</v>
      </c>
      <c r="B36" t="s">
        <v>256</v>
      </c>
      <c r="C36" t="s">
        <v>240</v>
      </c>
      <c r="D36" t="s">
        <v>251</v>
      </c>
    </row>
    <row r="37" spans="1:4" x14ac:dyDescent="0.25">
      <c r="A37">
        <v>294</v>
      </c>
      <c r="B37" t="s">
        <v>257</v>
      </c>
      <c r="C37" t="s">
        <v>240</v>
      </c>
      <c r="D37" t="s">
        <v>251</v>
      </c>
    </row>
    <row r="38" spans="1:4" x14ac:dyDescent="0.25">
      <c r="A38">
        <v>295</v>
      </c>
      <c r="B38" t="s">
        <v>258</v>
      </c>
      <c r="C38" t="s">
        <v>240</v>
      </c>
      <c r="D38" t="s">
        <v>251</v>
      </c>
    </row>
    <row r="39" spans="1:4" x14ac:dyDescent="0.25">
      <c r="A39">
        <v>296</v>
      </c>
      <c r="B39" t="s">
        <v>259</v>
      </c>
      <c r="C39" t="s">
        <v>240</v>
      </c>
      <c r="D39" t="s">
        <v>260</v>
      </c>
    </row>
    <row r="40" spans="1:4" x14ac:dyDescent="0.25">
      <c r="A40">
        <v>297</v>
      </c>
      <c r="B40" t="s">
        <v>261</v>
      </c>
      <c r="C40" t="s">
        <v>240</v>
      </c>
      <c r="D40" t="s">
        <v>260</v>
      </c>
    </row>
    <row r="41" spans="1:4" x14ac:dyDescent="0.25">
      <c r="A41">
        <v>298</v>
      </c>
      <c r="B41" t="s">
        <v>262</v>
      </c>
      <c r="C41" t="s">
        <v>240</v>
      </c>
      <c r="D41" t="s">
        <v>260</v>
      </c>
    </row>
    <row r="42" spans="1:4" x14ac:dyDescent="0.25">
      <c r="A42">
        <v>299</v>
      </c>
      <c r="B42" t="s">
        <v>263</v>
      </c>
      <c r="C42" t="s">
        <v>240</v>
      </c>
      <c r="D42" t="s">
        <v>260</v>
      </c>
    </row>
    <row r="43" spans="1:4" x14ac:dyDescent="0.25">
      <c r="A43">
        <v>300</v>
      </c>
      <c r="B43" t="s">
        <v>264</v>
      </c>
      <c r="C43" t="s">
        <v>240</v>
      </c>
      <c r="D43" t="s">
        <v>260</v>
      </c>
    </row>
    <row r="44" spans="1:4" x14ac:dyDescent="0.25">
      <c r="A44">
        <v>301</v>
      </c>
      <c r="B44" t="s">
        <v>265</v>
      </c>
      <c r="C44" t="s">
        <v>240</v>
      </c>
      <c r="D44" t="s">
        <v>260</v>
      </c>
    </row>
    <row r="45" spans="1:4" x14ac:dyDescent="0.25">
      <c r="A45">
        <v>302</v>
      </c>
      <c r="B45" t="s">
        <v>266</v>
      </c>
      <c r="C45" t="s">
        <v>240</v>
      </c>
      <c r="D45" t="s">
        <v>260</v>
      </c>
    </row>
    <row r="46" spans="1:4" x14ac:dyDescent="0.25">
      <c r="A46">
        <v>303</v>
      </c>
      <c r="B46" t="s">
        <v>267</v>
      </c>
      <c r="C46" t="s">
        <v>240</v>
      </c>
      <c r="D46" t="s">
        <v>251</v>
      </c>
    </row>
    <row r="47" spans="1:4" x14ac:dyDescent="0.25">
      <c r="A47">
        <v>304</v>
      </c>
      <c r="B47" t="s">
        <v>54</v>
      </c>
      <c r="C47" t="s">
        <v>240</v>
      </c>
      <c r="D47" t="s">
        <v>251</v>
      </c>
    </row>
    <row r="48" spans="1:4" x14ac:dyDescent="0.25">
      <c r="A48">
        <v>305</v>
      </c>
      <c r="B48" t="s">
        <v>268</v>
      </c>
      <c r="C48" t="s">
        <v>240</v>
      </c>
      <c r="D48" t="s">
        <v>251</v>
      </c>
    </row>
    <row r="49" spans="1:4" x14ac:dyDescent="0.25">
      <c r="A49">
        <v>306</v>
      </c>
      <c r="B49" t="s">
        <v>269</v>
      </c>
      <c r="C49" t="s">
        <v>240</v>
      </c>
      <c r="D49" t="s">
        <v>251</v>
      </c>
    </row>
    <row r="50" spans="1:4" x14ac:dyDescent="0.25">
      <c r="A50">
        <v>307</v>
      </c>
      <c r="B50" t="s">
        <v>270</v>
      </c>
      <c r="C50" t="s">
        <v>240</v>
      </c>
      <c r="D50" t="s">
        <v>251</v>
      </c>
    </row>
    <row r="51" spans="1:4" x14ac:dyDescent="0.25">
      <c r="A51">
        <v>308</v>
      </c>
      <c r="B51" t="s">
        <v>271</v>
      </c>
      <c r="C51" t="s">
        <v>240</v>
      </c>
      <c r="D51" t="s">
        <v>251</v>
      </c>
    </row>
    <row r="52" spans="1:4" x14ac:dyDescent="0.25">
      <c r="A52">
        <v>309</v>
      </c>
      <c r="B52" t="s">
        <v>272</v>
      </c>
      <c r="C52" t="s">
        <v>240</v>
      </c>
      <c r="D52" t="s">
        <v>251</v>
      </c>
    </row>
    <row r="53" spans="1:4" x14ac:dyDescent="0.25">
      <c r="A53">
        <v>310</v>
      </c>
      <c r="B53" t="s">
        <v>273</v>
      </c>
      <c r="C53" t="s">
        <v>240</v>
      </c>
      <c r="D53" t="s">
        <v>251</v>
      </c>
    </row>
    <row r="54" spans="1:4" x14ac:dyDescent="0.25">
      <c r="A54">
        <v>311</v>
      </c>
      <c r="B54" t="s">
        <v>274</v>
      </c>
      <c r="C54" t="s">
        <v>240</v>
      </c>
      <c r="D54" t="s">
        <v>251</v>
      </c>
    </row>
    <row r="55" spans="1:4" x14ac:dyDescent="0.25">
      <c r="A55">
        <v>312</v>
      </c>
      <c r="B55" t="s">
        <v>275</v>
      </c>
      <c r="C55" t="s">
        <v>240</v>
      </c>
      <c r="D55" t="s">
        <v>251</v>
      </c>
    </row>
    <row r="56" spans="1:4" x14ac:dyDescent="0.25">
      <c r="A56">
        <v>313</v>
      </c>
      <c r="B56" t="s">
        <v>276</v>
      </c>
      <c r="C56" t="s">
        <v>240</v>
      </c>
      <c r="D56" t="s">
        <v>251</v>
      </c>
    </row>
    <row r="57" spans="1:4" x14ac:dyDescent="0.25">
      <c r="A57">
        <v>314</v>
      </c>
      <c r="B57" t="s">
        <v>277</v>
      </c>
      <c r="C57" t="s">
        <v>240</v>
      </c>
      <c r="D57" t="s">
        <v>251</v>
      </c>
    </row>
    <row r="58" spans="1:4" x14ac:dyDescent="0.25">
      <c r="A58">
        <v>315</v>
      </c>
      <c r="B58" t="s">
        <v>278</v>
      </c>
      <c r="C58" t="s">
        <v>240</v>
      </c>
      <c r="D58" t="s">
        <v>251</v>
      </c>
    </row>
    <row r="59" spans="1:4" x14ac:dyDescent="0.25">
      <c r="A59">
        <v>316</v>
      </c>
      <c r="B59" t="s">
        <v>279</v>
      </c>
      <c r="C59" t="s">
        <v>240</v>
      </c>
      <c r="D59" t="s">
        <v>280</v>
      </c>
    </row>
    <row r="60" spans="1:4" x14ac:dyDescent="0.25">
      <c r="A60">
        <v>317</v>
      </c>
      <c r="B60" t="s">
        <v>281</v>
      </c>
      <c r="C60" t="s">
        <v>240</v>
      </c>
      <c r="D60" t="s">
        <v>280</v>
      </c>
    </row>
    <row r="61" spans="1:4" x14ac:dyDescent="0.25">
      <c r="A61">
        <v>318</v>
      </c>
      <c r="B61" t="s">
        <v>282</v>
      </c>
      <c r="C61" t="s">
        <v>240</v>
      </c>
      <c r="D61" t="s">
        <v>280</v>
      </c>
    </row>
    <row r="62" spans="1:4" x14ac:dyDescent="0.25">
      <c r="A62">
        <v>319</v>
      </c>
      <c r="B62" t="s">
        <v>283</v>
      </c>
      <c r="C62" t="s">
        <v>240</v>
      </c>
      <c r="D62" t="s">
        <v>280</v>
      </c>
    </row>
    <row r="63" spans="1:4" x14ac:dyDescent="0.25">
      <c r="A63">
        <v>320</v>
      </c>
      <c r="B63" t="s">
        <v>284</v>
      </c>
      <c r="C63" t="s">
        <v>240</v>
      </c>
      <c r="D63" t="s">
        <v>285</v>
      </c>
    </row>
    <row r="64" spans="1:4" x14ac:dyDescent="0.25">
      <c r="A64">
        <v>321</v>
      </c>
      <c r="B64" t="s">
        <v>286</v>
      </c>
      <c r="C64" t="s">
        <v>240</v>
      </c>
      <c r="D64" t="s">
        <v>285</v>
      </c>
    </row>
    <row r="65" spans="1:4" x14ac:dyDescent="0.25">
      <c r="A65">
        <v>322</v>
      </c>
      <c r="B65" t="s">
        <v>287</v>
      </c>
      <c r="C65" t="s">
        <v>240</v>
      </c>
      <c r="D65" t="s">
        <v>285</v>
      </c>
    </row>
    <row r="66" spans="1:4" x14ac:dyDescent="0.25">
      <c r="A66">
        <v>323</v>
      </c>
      <c r="B66" t="s">
        <v>288</v>
      </c>
      <c r="C66" t="s">
        <v>240</v>
      </c>
      <c r="D66" t="s">
        <v>289</v>
      </c>
    </row>
    <row r="67" spans="1:4" x14ac:dyDescent="0.25">
      <c r="A67">
        <v>324</v>
      </c>
      <c r="B67" t="s">
        <v>290</v>
      </c>
      <c r="C67" t="s">
        <v>240</v>
      </c>
      <c r="D67" t="s">
        <v>289</v>
      </c>
    </row>
    <row r="68" spans="1:4" x14ac:dyDescent="0.25">
      <c r="A68">
        <v>325</v>
      </c>
      <c r="B68" t="s">
        <v>291</v>
      </c>
      <c r="C68" t="s">
        <v>240</v>
      </c>
      <c r="D68" t="s">
        <v>289</v>
      </c>
    </row>
    <row r="69" spans="1:4" x14ac:dyDescent="0.25">
      <c r="A69">
        <v>326</v>
      </c>
      <c r="B69" t="s">
        <v>292</v>
      </c>
      <c r="C69" t="s">
        <v>240</v>
      </c>
      <c r="D69" t="s">
        <v>289</v>
      </c>
    </row>
    <row r="70" spans="1:4" x14ac:dyDescent="0.25">
      <c r="A70">
        <v>1</v>
      </c>
      <c r="B70" t="s">
        <v>46</v>
      </c>
      <c r="C70" t="s">
        <v>136</v>
      </c>
      <c r="D70" t="s">
        <v>47</v>
      </c>
    </row>
    <row r="71" spans="1:4" x14ac:dyDescent="0.25">
      <c r="A71">
        <v>2</v>
      </c>
      <c r="B71" t="s">
        <v>48</v>
      </c>
      <c r="C71" t="s">
        <v>136</v>
      </c>
      <c r="D71" t="s">
        <v>47</v>
      </c>
    </row>
    <row r="72" spans="1:4" x14ac:dyDescent="0.25">
      <c r="A72">
        <v>3</v>
      </c>
      <c r="B72" t="s">
        <v>49</v>
      </c>
      <c r="C72" t="s">
        <v>136</v>
      </c>
      <c r="D72" t="s">
        <v>47</v>
      </c>
    </row>
    <row r="73" spans="1:4" x14ac:dyDescent="0.25">
      <c r="A73">
        <v>4</v>
      </c>
      <c r="B73" t="s">
        <v>50</v>
      </c>
      <c r="C73" t="s">
        <v>136</v>
      </c>
      <c r="D73" t="s">
        <v>47</v>
      </c>
    </row>
    <row r="74" spans="1:4" x14ac:dyDescent="0.25">
      <c r="A74">
        <v>5</v>
      </c>
      <c r="B74" t="s">
        <v>51</v>
      </c>
      <c r="C74" t="s">
        <v>136</v>
      </c>
      <c r="D74" t="s">
        <v>47</v>
      </c>
    </row>
    <row r="75" spans="1:4" x14ac:dyDescent="0.25">
      <c r="A75">
        <v>6</v>
      </c>
      <c r="B75" t="s">
        <v>52</v>
      </c>
      <c r="C75" t="s">
        <v>136</v>
      </c>
      <c r="D75" t="s">
        <v>53</v>
      </c>
    </row>
    <row r="76" spans="1:4" x14ac:dyDescent="0.25">
      <c r="A76">
        <v>7</v>
      </c>
      <c r="B76" t="s">
        <v>54</v>
      </c>
      <c r="C76" t="s">
        <v>136</v>
      </c>
      <c r="D76" t="s">
        <v>53</v>
      </c>
    </row>
    <row r="77" spans="1:4" x14ac:dyDescent="0.25">
      <c r="A77">
        <v>8</v>
      </c>
      <c r="B77" t="s">
        <v>55</v>
      </c>
      <c r="C77" t="s">
        <v>136</v>
      </c>
      <c r="D77" t="s">
        <v>53</v>
      </c>
    </row>
    <row r="78" spans="1:4" x14ac:dyDescent="0.25">
      <c r="A78">
        <v>9</v>
      </c>
      <c r="B78" t="s">
        <v>56</v>
      </c>
      <c r="C78" t="s">
        <v>136</v>
      </c>
      <c r="D78" t="s">
        <v>53</v>
      </c>
    </row>
    <row r="79" spans="1:4" x14ac:dyDescent="0.25">
      <c r="A79">
        <v>10</v>
      </c>
      <c r="B79" t="s">
        <v>57</v>
      </c>
      <c r="C79" t="s">
        <v>136</v>
      </c>
      <c r="D79" t="s">
        <v>53</v>
      </c>
    </row>
    <row r="80" spans="1:4" x14ac:dyDescent="0.25">
      <c r="A80">
        <v>11</v>
      </c>
      <c r="B80" t="s">
        <v>58</v>
      </c>
      <c r="C80" t="s">
        <v>136</v>
      </c>
      <c r="D80" t="s">
        <v>53</v>
      </c>
    </row>
    <row r="81" spans="1:4" x14ac:dyDescent="0.25">
      <c r="A81">
        <v>12</v>
      </c>
      <c r="B81" t="s">
        <v>59</v>
      </c>
      <c r="C81" t="s">
        <v>136</v>
      </c>
      <c r="D81" t="s">
        <v>53</v>
      </c>
    </row>
    <row r="82" spans="1:4" x14ac:dyDescent="0.25">
      <c r="A82">
        <v>13</v>
      </c>
      <c r="B82" t="s">
        <v>60</v>
      </c>
      <c r="C82" t="s">
        <v>136</v>
      </c>
      <c r="D82" t="s">
        <v>53</v>
      </c>
    </row>
    <row r="83" spans="1:4" x14ac:dyDescent="0.25">
      <c r="A83">
        <v>14</v>
      </c>
      <c r="B83" t="s">
        <v>61</v>
      </c>
      <c r="C83" t="s">
        <v>136</v>
      </c>
      <c r="D83" t="s">
        <v>53</v>
      </c>
    </row>
    <row r="84" spans="1:4" x14ac:dyDescent="0.25">
      <c r="A84">
        <v>15</v>
      </c>
      <c r="B84" t="s">
        <v>62</v>
      </c>
      <c r="C84" t="s">
        <v>136</v>
      </c>
      <c r="D84" t="s">
        <v>53</v>
      </c>
    </row>
    <row r="85" spans="1:4" x14ac:dyDescent="0.25">
      <c r="A85">
        <v>16</v>
      </c>
      <c r="B85" t="s">
        <v>63</v>
      </c>
      <c r="C85" t="s">
        <v>136</v>
      </c>
      <c r="D85" t="s">
        <v>53</v>
      </c>
    </row>
    <row r="86" spans="1:4" x14ac:dyDescent="0.25">
      <c r="A86">
        <v>17</v>
      </c>
      <c r="B86" t="s">
        <v>64</v>
      </c>
      <c r="C86" t="s">
        <v>136</v>
      </c>
      <c r="D86" t="s">
        <v>53</v>
      </c>
    </row>
    <row r="87" spans="1:4" x14ac:dyDescent="0.25">
      <c r="A87">
        <v>18</v>
      </c>
      <c r="B87" t="s">
        <v>65</v>
      </c>
      <c r="C87" t="s">
        <v>136</v>
      </c>
      <c r="D87" t="s">
        <v>53</v>
      </c>
    </row>
    <row r="88" spans="1:4" x14ac:dyDescent="0.25">
      <c r="A88">
        <v>19</v>
      </c>
      <c r="B88" t="s">
        <v>66</v>
      </c>
      <c r="C88" t="s">
        <v>136</v>
      </c>
      <c r="D88" t="s">
        <v>53</v>
      </c>
    </row>
    <row r="89" spans="1:4" x14ac:dyDescent="0.25">
      <c r="A89">
        <v>20</v>
      </c>
      <c r="B89" t="s">
        <v>67</v>
      </c>
      <c r="C89" t="s">
        <v>136</v>
      </c>
      <c r="D89" t="s">
        <v>53</v>
      </c>
    </row>
    <row r="90" spans="1:4" x14ac:dyDescent="0.25">
      <c r="A90">
        <v>21</v>
      </c>
      <c r="B90" t="s">
        <v>68</v>
      </c>
      <c r="C90" t="s">
        <v>136</v>
      </c>
      <c r="D90" t="s">
        <v>53</v>
      </c>
    </row>
    <row r="91" spans="1:4" x14ac:dyDescent="0.25">
      <c r="A91">
        <v>22</v>
      </c>
      <c r="B91" t="s">
        <v>69</v>
      </c>
      <c r="C91" t="s">
        <v>136</v>
      </c>
      <c r="D91" t="s">
        <v>53</v>
      </c>
    </row>
    <row r="92" spans="1:4" x14ac:dyDescent="0.25">
      <c r="A92">
        <v>23</v>
      </c>
      <c r="B92" t="s">
        <v>70</v>
      </c>
      <c r="C92" t="s">
        <v>136</v>
      </c>
      <c r="D92" t="s">
        <v>53</v>
      </c>
    </row>
    <row r="93" spans="1:4" x14ac:dyDescent="0.25">
      <c r="A93">
        <v>24</v>
      </c>
      <c r="B93" t="s">
        <v>71</v>
      </c>
      <c r="C93" t="s">
        <v>136</v>
      </c>
      <c r="D93" t="s">
        <v>53</v>
      </c>
    </row>
    <row r="94" spans="1:4" x14ac:dyDescent="0.25">
      <c r="A94">
        <v>25</v>
      </c>
      <c r="B94" t="s">
        <v>72</v>
      </c>
      <c r="C94" t="s">
        <v>136</v>
      </c>
      <c r="D94" t="s">
        <v>53</v>
      </c>
    </row>
    <row r="95" spans="1:4" x14ac:dyDescent="0.25">
      <c r="A95">
        <v>26</v>
      </c>
      <c r="B95" t="s">
        <v>73</v>
      </c>
      <c r="C95" t="s">
        <v>136</v>
      </c>
      <c r="D95" t="s">
        <v>53</v>
      </c>
    </row>
    <row r="96" spans="1:4" x14ac:dyDescent="0.25">
      <c r="A96">
        <v>27</v>
      </c>
      <c r="B96" t="s">
        <v>74</v>
      </c>
      <c r="C96" t="s">
        <v>136</v>
      </c>
      <c r="D96" t="s">
        <v>53</v>
      </c>
    </row>
    <row r="97" spans="1:4" x14ac:dyDescent="0.25">
      <c r="A97">
        <v>28</v>
      </c>
      <c r="B97" t="s">
        <v>75</v>
      </c>
      <c r="C97" t="s">
        <v>38</v>
      </c>
      <c r="D97" t="s">
        <v>47</v>
      </c>
    </row>
    <row r="98" spans="1:4" x14ac:dyDescent="0.25">
      <c r="A98">
        <v>29</v>
      </c>
      <c r="B98" t="s">
        <v>76</v>
      </c>
      <c r="C98" t="s">
        <v>38</v>
      </c>
      <c r="D98" t="s">
        <v>47</v>
      </c>
    </row>
    <row r="99" spans="1:4" x14ac:dyDescent="0.25">
      <c r="A99">
        <v>30</v>
      </c>
      <c r="B99" t="s">
        <v>77</v>
      </c>
      <c r="C99" t="s">
        <v>38</v>
      </c>
      <c r="D99" t="s">
        <v>47</v>
      </c>
    </row>
    <row r="100" spans="1:4" x14ac:dyDescent="0.25">
      <c r="A100">
        <v>31</v>
      </c>
      <c r="B100" t="s">
        <v>78</v>
      </c>
      <c r="C100" t="s">
        <v>38</v>
      </c>
      <c r="D100" t="s">
        <v>47</v>
      </c>
    </row>
    <row r="101" spans="1:4" x14ac:dyDescent="0.25">
      <c r="A101">
        <v>32</v>
      </c>
      <c r="B101" t="s">
        <v>79</v>
      </c>
      <c r="C101" t="s">
        <v>38</v>
      </c>
      <c r="D101" t="s">
        <v>47</v>
      </c>
    </row>
    <row r="102" spans="1:4" x14ac:dyDescent="0.25">
      <c r="A102">
        <v>33</v>
      </c>
      <c r="B102" t="s">
        <v>80</v>
      </c>
      <c r="C102" t="s">
        <v>38</v>
      </c>
      <c r="D102" t="s">
        <v>81</v>
      </c>
    </row>
    <row r="103" spans="1:4" x14ac:dyDescent="0.25">
      <c r="A103">
        <v>34</v>
      </c>
      <c r="B103" t="s">
        <v>82</v>
      </c>
      <c r="C103" t="s">
        <v>38</v>
      </c>
      <c r="D103" t="s">
        <v>81</v>
      </c>
    </row>
    <row r="104" spans="1:4" x14ac:dyDescent="0.25">
      <c r="A104">
        <v>35</v>
      </c>
      <c r="B104" t="s">
        <v>83</v>
      </c>
      <c r="C104" t="s">
        <v>38</v>
      </c>
      <c r="D104" t="s">
        <v>81</v>
      </c>
    </row>
    <row r="105" spans="1:4" x14ac:dyDescent="0.25">
      <c r="A105">
        <v>36</v>
      </c>
      <c r="B105" t="s">
        <v>84</v>
      </c>
      <c r="C105" t="s">
        <v>38</v>
      </c>
      <c r="D105" t="s">
        <v>81</v>
      </c>
    </row>
    <row r="106" spans="1:4" x14ac:dyDescent="0.25">
      <c r="A106">
        <v>37</v>
      </c>
      <c r="B106" t="s">
        <v>85</v>
      </c>
      <c r="C106" t="s">
        <v>38</v>
      </c>
      <c r="D106" t="s">
        <v>86</v>
      </c>
    </row>
    <row r="107" spans="1:4" x14ac:dyDescent="0.25">
      <c r="A107">
        <v>38</v>
      </c>
      <c r="B107" t="s">
        <v>85</v>
      </c>
      <c r="C107" t="s">
        <v>38</v>
      </c>
      <c r="D107" t="s">
        <v>87</v>
      </c>
    </row>
    <row r="108" spans="1:4" x14ac:dyDescent="0.25">
      <c r="A108">
        <v>39</v>
      </c>
      <c r="B108" t="s">
        <v>88</v>
      </c>
      <c r="C108" t="s">
        <v>38</v>
      </c>
      <c r="D108" t="s">
        <v>87</v>
      </c>
    </row>
    <row r="109" spans="1:4" x14ac:dyDescent="0.25">
      <c r="A109">
        <v>40</v>
      </c>
      <c r="B109" t="s">
        <v>89</v>
      </c>
      <c r="C109" t="s">
        <v>38</v>
      </c>
      <c r="D109" t="s">
        <v>87</v>
      </c>
    </row>
    <row r="110" spans="1:4" x14ac:dyDescent="0.25">
      <c r="A110">
        <v>41</v>
      </c>
      <c r="B110" t="s">
        <v>90</v>
      </c>
      <c r="C110" t="s">
        <v>38</v>
      </c>
      <c r="D110" t="s">
        <v>87</v>
      </c>
    </row>
    <row r="111" spans="1:4" x14ac:dyDescent="0.25">
      <c r="A111">
        <v>42</v>
      </c>
      <c r="B111" t="s">
        <v>91</v>
      </c>
      <c r="C111" t="s">
        <v>38</v>
      </c>
      <c r="D111" t="s">
        <v>92</v>
      </c>
    </row>
    <row r="112" spans="1:4" x14ac:dyDescent="0.25">
      <c r="A112">
        <v>43</v>
      </c>
      <c r="B112" t="s">
        <v>93</v>
      </c>
      <c r="C112" t="s">
        <v>38</v>
      </c>
      <c r="D112" t="s">
        <v>92</v>
      </c>
    </row>
    <row r="113" spans="1:4" x14ac:dyDescent="0.25">
      <c r="A113">
        <v>44</v>
      </c>
      <c r="B113" t="s">
        <v>94</v>
      </c>
      <c r="C113" t="s">
        <v>38</v>
      </c>
      <c r="D113" t="s">
        <v>95</v>
      </c>
    </row>
    <row r="114" spans="1:4" x14ac:dyDescent="0.25">
      <c r="A114">
        <v>45</v>
      </c>
      <c r="B114" t="s">
        <v>96</v>
      </c>
      <c r="C114" t="s">
        <v>38</v>
      </c>
      <c r="D114" t="s">
        <v>95</v>
      </c>
    </row>
    <row r="115" spans="1:4" x14ac:dyDescent="0.25">
      <c r="A115">
        <v>46</v>
      </c>
      <c r="B115" t="s">
        <v>58</v>
      </c>
      <c r="C115" t="s">
        <v>38</v>
      </c>
      <c r="D115" t="s">
        <v>53</v>
      </c>
    </row>
    <row r="116" spans="1:4" x14ac:dyDescent="0.25">
      <c r="A116">
        <v>47</v>
      </c>
      <c r="B116" t="s">
        <v>97</v>
      </c>
      <c r="C116" t="s">
        <v>38</v>
      </c>
      <c r="D116" t="s">
        <v>53</v>
      </c>
    </row>
    <row r="117" spans="1:4" x14ac:dyDescent="0.25">
      <c r="A117">
        <v>48</v>
      </c>
      <c r="B117" t="s">
        <v>98</v>
      </c>
      <c r="C117" t="s">
        <v>38</v>
      </c>
      <c r="D117" t="s">
        <v>53</v>
      </c>
    </row>
    <row r="118" spans="1:4" x14ac:dyDescent="0.25">
      <c r="A118">
        <v>49</v>
      </c>
      <c r="B118" t="s">
        <v>88</v>
      </c>
      <c r="C118" t="s">
        <v>38</v>
      </c>
      <c r="D118" t="s">
        <v>53</v>
      </c>
    </row>
    <row r="119" spans="1:4" x14ac:dyDescent="0.25">
      <c r="A119">
        <v>50</v>
      </c>
      <c r="B119" t="s">
        <v>99</v>
      </c>
      <c r="C119" t="s">
        <v>38</v>
      </c>
      <c r="D119" t="s">
        <v>53</v>
      </c>
    </row>
    <row r="120" spans="1:4" x14ac:dyDescent="0.25">
      <c r="A120">
        <v>51</v>
      </c>
      <c r="B120" t="s">
        <v>100</v>
      </c>
      <c r="C120" t="s">
        <v>38</v>
      </c>
      <c r="D120" t="s">
        <v>53</v>
      </c>
    </row>
    <row r="121" spans="1:4" x14ac:dyDescent="0.25">
      <c r="A121">
        <v>52</v>
      </c>
      <c r="B121" t="s">
        <v>101</v>
      </c>
      <c r="C121" t="s">
        <v>38</v>
      </c>
      <c r="D121" t="s">
        <v>53</v>
      </c>
    </row>
    <row r="122" spans="1:4" x14ac:dyDescent="0.25">
      <c r="A122">
        <v>53</v>
      </c>
      <c r="B122" t="s">
        <v>89</v>
      </c>
      <c r="C122" t="s">
        <v>38</v>
      </c>
      <c r="D122" t="s">
        <v>53</v>
      </c>
    </row>
    <row r="123" spans="1:4" x14ac:dyDescent="0.25">
      <c r="A123">
        <v>54</v>
      </c>
      <c r="B123" t="s">
        <v>61</v>
      </c>
      <c r="C123" t="s">
        <v>38</v>
      </c>
      <c r="D123" t="s">
        <v>53</v>
      </c>
    </row>
    <row r="124" spans="1:4" x14ac:dyDescent="0.25">
      <c r="A124">
        <v>55</v>
      </c>
      <c r="B124" t="s">
        <v>57</v>
      </c>
      <c r="C124" t="s">
        <v>38</v>
      </c>
      <c r="D124" t="s">
        <v>53</v>
      </c>
    </row>
    <row r="125" spans="1:4" x14ac:dyDescent="0.25">
      <c r="A125">
        <v>56</v>
      </c>
      <c r="B125" t="s">
        <v>102</v>
      </c>
      <c r="C125" t="s">
        <v>38</v>
      </c>
      <c r="D125" t="s">
        <v>53</v>
      </c>
    </row>
    <row r="126" spans="1:4" x14ac:dyDescent="0.25">
      <c r="A126">
        <v>57</v>
      </c>
      <c r="B126" t="s">
        <v>103</v>
      </c>
      <c r="C126" t="s">
        <v>38</v>
      </c>
      <c r="D126" t="s">
        <v>53</v>
      </c>
    </row>
    <row r="127" spans="1:4" x14ac:dyDescent="0.25">
      <c r="A127">
        <v>58</v>
      </c>
      <c r="B127" t="s">
        <v>60</v>
      </c>
      <c r="C127" t="s">
        <v>38</v>
      </c>
      <c r="D127" t="s">
        <v>53</v>
      </c>
    </row>
    <row r="128" spans="1:4" x14ac:dyDescent="0.25">
      <c r="A128">
        <v>59</v>
      </c>
      <c r="B128" t="s">
        <v>104</v>
      </c>
      <c r="C128" t="s">
        <v>38</v>
      </c>
      <c r="D128" t="s">
        <v>53</v>
      </c>
    </row>
    <row r="129" spans="1:4" x14ac:dyDescent="0.25">
      <c r="A129">
        <v>60</v>
      </c>
      <c r="B129" t="s">
        <v>54</v>
      </c>
      <c r="C129" t="s">
        <v>38</v>
      </c>
      <c r="D129" t="s">
        <v>53</v>
      </c>
    </row>
    <row r="130" spans="1:4" x14ac:dyDescent="0.25">
      <c r="A130">
        <v>61</v>
      </c>
      <c r="B130" t="s">
        <v>105</v>
      </c>
      <c r="C130" t="s">
        <v>38</v>
      </c>
      <c r="D130" t="s">
        <v>53</v>
      </c>
    </row>
    <row r="131" spans="1:4" x14ac:dyDescent="0.25">
      <c r="A131">
        <v>62</v>
      </c>
      <c r="B131" t="s">
        <v>106</v>
      </c>
      <c r="C131" t="s">
        <v>38</v>
      </c>
      <c r="D131" t="s">
        <v>53</v>
      </c>
    </row>
    <row r="132" spans="1:4" x14ac:dyDescent="0.25">
      <c r="A132">
        <v>63</v>
      </c>
      <c r="B132" t="s">
        <v>107</v>
      </c>
      <c r="C132" t="s">
        <v>38</v>
      </c>
      <c r="D132" t="s">
        <v>53</v>
      </c>
    </row>
    <row r="133" spans="1:4" x14ac:dyDescent="0.25">
      <c r="A133">
        <v>64</v>
      </c>
      <c r="B133" t="s">
        <v>66</v>
      </c>
      <c r="C133" t="s">
        <v>38</v>
      </c>
      <c r="D133" t="s">
        <v>53</v>
      </c>
    </row>
    <row r="134" spans="1:4" x14ac:dyDescent="0.25">
      <c r="A134">
        <v>65</v>
      </c>
      <c r="B134" t="s">
        <v>108</v>
      </c>
      <c r="C134" t="s">
        <v>38</v>
      </c>
      <c r="D134" t="s">
        <v>53</v>
      </c>
    </row>
    <row r="135" spans="1:4" x14ac:dyDescent="0.25">
      <c r="A135">
        <v>66</v>
      </c>
      <c r="B135" t="s">
        <v>293</v>
      </c>
      <c r="C135" t="s">
        <v>153</v>
      </c>
      <c r="D135" t="s">
        <v>53</v>
      </c>
    </row>
    <row r="136" spans="1:4" x14ac:dyDescent="0.25">
      <c r="A136">
        <v>67</v>
      </c>
      <c r="B136" t="s">
        <v>98</v>
      </c>
      <c r="C136" t="s">
        <v>153</v>
      </c>
      <c r="D136" t="s">
        <v>53</v>
      </c>
    </row>
    <row r="137" spans="1:4" x14ac:dyDescent="0.25">
      <c r="A137">
        <v>68</v>
      </c>
      <c r="B137" t="s">
        <v>294</v>
      </c>
      <c r="C137" t="s">
        <v>153</v>
      </c>
      <c r="D137" t="s">
        <v>53</v>
      </c>
    </row>
    <row r="138" spans="1:4" x14ac:dyDescent="0.25">
      <c r="A138">
        <v>69</v>
      </c>
      <c r="B138" t="s">
        <v>88</v>
      </c>
      <c r="C138" t="s">
        <v>153</v>
      </c>
      <c r="D138" t="s">
        <v>53</v>
      </c>
    </row>
    <row r="139" spans="1:4" x14ac:dyDescent="0.25">
      <c r="A139">
        <v>70</v>
      </c>
      <c r="B139" t="s">
        <v>295</v>
      </c>
      <c r="C139" t="s">
        <v>153</v>
      </c>
      <c r="D139" t="s">
        <v>53</v>
      </c>
    </row>
    <row r="140" spans="1:4" x14ac:dyDescent="0.25">
      <c r="A140">
        <v>71</v>
      </c>
      <c r="B140" t="s">
        <v>296</v>
      </c>
      <c r="C140" t="s">
        <v>153</v>
      </c>
      <c r="D140" t="s">
        <v>53</v>
      </c>
    </row>
    <row r="141" spans="1:4" x14ac:dyDescent="0.25">
      <c r="A141">
        <v>72</v>
      </c>
      <c r="B141" t="s">
        <v>297</v>
      </c>
      <c r="C141" t="s">
        <v>153</v>
      </c>
      <c r="D141" t="s">
        <v>53</v>
      </c>
    </row>
    <row r="142" spans="1:4" x14ac:dyDescent="0.25">
      <c r="A142">
        <v>73</v>
      </c>
      <c r="B142" t="s">
        <v>61</v>
      </c>
      <c r="C142" t="s">
        <v>153</v>
      </c>
      <c r="D142" t="s">
        <v>53</v>
      </c>
    </row>
    <row r="143" spans="1:4" x14ac:dyDescent="0.25">
      <c r="A143">
        <v>74</v>
      </c>
      <c r="B143" t="s">
        <v>298</v>
      </c>
      <c r="C143" t="s">
        <v>153</v>
      </c>
      <c r="D143" t="s">
        <v>53</v>
      </c>
    </row>
    <row r="144" spans="1:4" x14ac:dyDescent="0.25">
      <c r="A144">
        <v>75</v>
      </c>
      <c r="B144" t="s">
        <v>66</v>
      </c>
      <c r="C144" t="s">
        <v>153</v>
      </c>
      <c r="D144" t="s">
        <v>53</v>
      </c>
    </row>
    <row r="145" spans="1:4" x14ac:dyDescent="0.25">
      <c r="A145">
        <v>76</v>
      </c>
      <c r="B145" t="s">
        <v>299</v>
      </c>
      <c r="C145" t="s">
        <v>153</v>
      </c>
      <c r="D145" t="s">
        <v>47</v>
      </c>
    </row>
    <row r="146" spans="1:4" x14ac:dyDescent="0.25">
      <c r="A146">
        <v>77</v>
      </c>
      <c r="B146" t="s">
        <v>300</v>
      </c>
      <c r="C146" t="s">
        <v>153</v>
      </c>
      <c r="D146" t="s">
        <v>47</v>
      </c>
    </row>
    <row r="147" spans="1:4" x14ac:dyDescent="0.25">
      <c r="A147">
        <v>78</v>
      </c>
      <c r="B147" t="s">
        <v>301</v>
      </c>
      <c r="C147" t="s">
        <v>153</v>
      </c>
      <c r="D147" t="s">
        <v>53</v>
      </c>
    </row>
    <row r="148" spans="1:4" x14ac:dyDescent="0.25">
      <c r="A148">
        <v>79</v>
      </c>
      <c r="B148" t="s">
        <v>60</v>
      </c>
      <c r="C148" t="s">
        <v>153</v>
      </c>
      <c r="D148" t="s">
        <v>53</v>
      </c>
    </row>
    <row r="149" spans="1:4" x14ac:dyDescent="0.25">
      <c r="A149">
        <v>80</v>
      </c>
      <c r="B149" t="s">
        <v>302</v>
      </c>
      <c r="C149" t="s">
        <v>153</v>
      </c>
      <c r="D149" t="s">
        <v>53</v>
      </c>
    </row>
    <row r="150" spans="1:4" x14ac:dyDescent="0.25">
      <c r="A150">
        <v>81</v>
      </c>
      <c r="B150" t="s">
        <v>68</v>
      </c>
      <c r="C150" t="s">
        <v>153</v>
      </c>
      <c r="D150" t="s">
        <v>53</v>
      </c>
    </row>
    <row r="151" spans="1:4" x14ac:dyDescent="0.25">
      <c r="A151">
        <v>82</v>
      </c>
      <c r="B151" t="s">
        <v>303</v>
      </c>
      <c r="C151" t="s">
        <v>153</v>
      </c>
      <c r="D151" t="s">
        <v>53</v>
      </c>
    </row>
    <row r="152" spans="1:4" x14ac:dyDescent="0.25">
      <c r="A152">
        <v>83</v>
      </c>
      <c r="B152" t="s">
        <v>69</v>
      </c>
      <c r="C152" t="s">
        <v>153</v>
      </c>
      <c r="D152" t="s">
        <v>53</v>
      </c>
    </row>
    <row r="153" spans="1:4" x14ac:dyDescent="0.25">
      <c r="A153">
        <v>84</v>
      </c>
      <c r="B153" t="s">
        <v>304</v>
      </c>
      <c r="C153" t="s">
        <v>153</v>
      </c>
      <c r="D153" t="s">
        <v>53</v>
      </c>
    </row>
    <row r="154" spans="1:4" x14ac:dyDescent="0.25">
      <c r="A154">
        <v>85</v>
      </c>
      <c r="B154" t="s">
        <v>105</v>
      </c>
      <c r="C154" t="s">
        <v>153</v>
      </c>
      <c r="D154" t="s">
        <v>53</v>
      </c>
    </row>
    <row r="155" spans="1:4" x14ac:dyDescent="0.25">
      <c r="A155">
        <v>86</v>
      </c>
      <c r="B155" t="s">
        <v>305</v>
      </c>
      <c r="C155" t="s">
        <v>153</v>
      </c>
      <c r="D155" t="s">
        <v>53</v>
      </c>
    </row>
    <row r="156" spans="1:4" x14ac:dyDescent="0.25">
      <c r="A156">
        <v>87</v>
      </c>
      <c r="B156" t="s">
        <v>306</v>
      </c>
      <c r="C156" t="s">
        <v>153</v>
      </c>
      <c r="D156" t="s">
        <v>53</v>
      </c>
    </row>
    <row r="157" spans="1:4" x14ac:dyDescent="0.25">
      <c r="A157">
        <v>88</v>
      </c>
      <c r="B157" t="s">
        <v>307</v>
      </c>
      <c r="C157" t="s">
        <v>153</v>
      </c>
      <c r="D157" t="s">
        <v>53</v>
      </c>
    </row>
    <row r="158" spans="1:4" x14ac:dyDescent="0.25">
      <c r="A158">
        <v>89</v>
      </c>
      <c r="B158" t="s">
        <v>308</v>
      </c>
      <c r="C158" t="s">
        <v>153</v>
      </c>
      <c r="D158" t="s">
        <v>53</v>
      </c>
    </row>
    <row r="159" spans="1:4" x14ac:dyDescent="0.25">
      <c r="A159">
        <v>90</v>
      </c>
      <c r="B159" t="s">
        <v>309</v>
      </c>
      <c r="C159" t="s">
        <v>153</v>
      </c>
      <c r="D159" t="s">
        <v>53</v>
      </c>
    </row>
    <row r="160" spans="1:4" x14ac:dyDescent="0.25">
      <c r="A160">
        <v>91</v>
      </c>
      <c r="B160" t="s">
        <v>310</v>
      </c>
      <c r="C160" t="s">
        <v>153</v>
      </c>
      <c r="D160" t="s">
        <v>53</v>
      </c>
    </row>
    <row r="161" spans="1:4" x14ac:dyDescent="0.25">
      <c r="A161">
        <v>92</v>
      </c>
      <c r="B161" t="s">
        <v>54</v>
      </c>
      <c r="C161" t="s">
        <v>153</v>
      </c>
      <c r="D161" t="s">
        <v>53</v>
      </c>
    </row>
    <row r="162" spans="1:4" x14ac:dyDescent="0.25">
      <c r="A162">
        <v>93</v>
      </c>
      <c r="B162" t="s">
        <v>311</v>
      </c>
      <c r="C162" t="s">
        <v>153</v>
      </c>
      <c r="D162" t="s">
        <v>53</v>
      </c>
    </row>
    <row r="163" spans="1:4" x14ac:dyDescent="0.25">
      <c r="A163">
        <v>94</v>
      </c>
      <c r="B163" t="s">
        <v>312</v>
      </c>
      <c r="C163" t="s">
        <v>153</v>
      </c>
      <c r="D163" t="s">
        <v>47</v>
      </c>
    </row>
    <row r="164" spans="1:4" x14ac:dyDescent="0.25">
      <c r="A164">
        <v>95</v>
      </c>
      <c r="B164" t="s">
        <v>313</v>
      </c>
      <c r="C164" t="s">
        <v>153</v>
      </c>
      <c r="D164" t="s">
        <v>47</v>
      </c>
    </row>
    <row r="165" spans="1:4" x14ac:dyDescent="0.25">
      <c r="A165">
        <v>96</v>
      </c>
      <c r="B165" t="s">
        <v>248</v>
      </c>
      <c r="C165" t="s">
        <v>153</v>
      </c>
      <c r="D165" t="s">
        <v>47</v>
      </c>
    </row>
    <row r="166" spans="1:4" x14ac:dyDescent="0.25">
      <c r="A166">
        <v>97</v>
      </c>
      <c r="B166" t="s">
        <v>58</v>
      </c>
      <c r="C166" t="s">
        <v>140</v>
      </c>
      <c r="D166" t="s">
        <v>53</v>
      </c>
    </row>
    <row r="167" spans="1:4" x14ac:dyDescent="0.25">
      <c r="A167">
        <v>98</v>
      </c>
      <c r="B167" t="s">
        <v>314</v>
      </c>
      <c r="C167" t="s">
        <v>140</v>
      </c>
      <c r="D167" t="s">
        <v>53</v>
      </c>
    </row>
    <row r="168" spans="1:4" x14ac:dyDescent="0.25">
      <c r="A168">
        <v>99</v>
      </c>
      <c r="B168" t="s">
        <v>98</v>
      </c>
      <c r="C168" t="s">
        <v>140</v>
      </c>
      <c r="D168" t="s">
        <v>53</v>
      </c>
    </row>
    <row r="169" spans="1:4" x14ac:dyDescent="0.25">
      <c r="A169">
        <v>100</v>
      </c>
      <c r="B169" t="s">
        <v>315</v>
      </c>
      <c r="C169" t="s">
        <v>140</v>
      </c>
      <c r="D169" t="s">
        <v>53</v>
      </c>
    </row>
    <row r="170" spans="1:4" x14ac:dyDescent="0.25">
      <c r="A170">
        <v>101</v>
      </c>
      <c r="B170" t="s">
        <v>316</v>
      </c>
      <c r="C170" t="s">
        <v>140</v>
      </c>
      <c r="D170" t="s">
        <v>53</v>
      </c>
    </row>
    <row r="171" spans="1:4" x14ac:dyDescent="0.25">
      <c r="A171">
        <v>102</v>
      </c>
      <c r="B171" t="s">
        <v>88</v>
      </c>
      <c r="C171" t="s">
        <v>140</v>
      </c>
      <c r="D171" t="s">
        <v>53</v>
      </c>
    </row>
    <row r="172" spans="1:4" x14ac:dyDescent="0.25">
      <c r="A172">
        <v>103</v>
      </c>
      <c r="B172" t="s">
        <v>317</v>
      </c>
      <c r="C172" t="s">
        <v>140</v>
      </c>
      <c r="D172" t="s">
        <v>53</v>
      </c>
    </row>
    <row r="173" spans="1:4" x14ac:dyDescent="0.25">
      <c r="A173">
        <v>104</v>
      </c>
      <c r="B173" t="s">
        <v>318</v>
      </c>
      <c r="C173" t="s">
        <v>140</v>
      </c>
      <c r="D173" t="s">
        <v>53</v>
      </c>
    </row>
    <row r="174" spans="1:4" x14ac:dyDescent="0.25">
      <c r="A174">
        <v>105</v>
      </c>
      <c r="B174" t="s">
        <v>319</v>
      </c>
      <c r="C174" t="s">
        <v>140</v>
      </c>
      <c r="D174" t="s">
        <v>53</v>
      </c>
    </row>
    <row r="175" spans="1:4" x14ac:dyDescent="0.25">
      <c r="A175">
        <v>106</v>
      </c>
      <c r="B175" t="s">
        <v>320</v>
      </c>
      <c r="C175" t="s">
        <v>140</v>
      </c>
      <c r="D175" t="s">
        <v>53</v>
      </c>
    </row>
    <row r="176" spans="1:4" x14ac:dyDescent="0.25">
      <c r="A176">
        <v>107</v>
      </c>
      <c r="B176" t="s">
        <v>321</v>
      </c>
      <c r="C176" t="s">
        <v>140</v>
      </c>
      <c r="D176" t="s">
        <v>53</v>
      </c>
    </row>
    <row r="177" spans="1:4" x14ac:dyDescent="0.25">
      <c r="A177">
        <v>108</v>
      </c>
      <c r="B177" t="s">
        <v>322</v>
      </c>
      <c r="C177" t="s">
        <v>140</v>
      </c>
      <c r="D177" t="s">
        <v>53</v>
      </c>
    </row>
    <row r="178" spans="1:4" x14ac:dyDescent="0.25">
      <c r="A178">
        <v>109</v>
      </c>
      <c r="B178" t="s">
        <v>243</v>
      </c>
      <c r="C178" t="s">
        <v>140</v>
      </c>
      <c r="D178" t="s">
        <v>323</v>
      </c>
    </row>
    <row r="179" spans="1:4" x14ac:dyDescent="0.25">
      <c r="A179">
        <v>110</v>
      </c>
      <c r="B179" t="s">
        <v>324</v>
      </c>
      <c r="C179" t="s">
        <v>140</v>
      </c>
      <c r="D179" t="s">
        <v>323</v>
      </c>
    </row>
    <row r="180" spans="1:4" x14ac:dyDescent="0.25">
      <c r="A180">
        <v>111</v>
      </c>
      <c r="B180" t="s">
        <v>75</v>
      </c>
      <c r="C180" t="s">
        <v>140</v>
      </c>
      <c r="D180" t="s">
        <v>323</v>
      </c>
    </row>
    <row r="181" spans="1:4" x14ac:dyDescent="0.25">
      <c r="A181">
        <v>112</v>
      </c>
      <c r="B181" t="s">
        <v>325</v>
      </c>
      <c r="C181" t="s">
        <v>140</v>
      </c>
      <c r="D181" t="s">
        <v>323</v>
      </c>
    </row>
    <row r="182" spans="1:4" x14ac:dyDescent="0.25">
      <c r="A182">
        <v>113</v>
      </c>
      <c r="B182" t="s">
        <v>77</v>
      </c>
      <c r="C182" t="s">
        <v>140</v>
      </c>
      <c r="D182" t="s">
        <v>323</v>
      </c>
    </row>
    <row r="183" spans="1:4" x14ac:dyDescent="0.25">
      <c r="A183">
        <v>114</v>
      </c>
      <c r="B183" t="s">
        <v>76</v>
      </c>
      <c r="C183" t="s">
        <v>140</v>
      </c>
      <c r="D183" t="s">
        <v>323</v>
      </c>
    </row>
    <row r="184" spans="1:4" x14ac:dyDescent="0.25">
      <c r="A184">
        <v>115</v>
      </c>
      <c r="B184" t="s">
        <v>326</v>
      </c>
      <c r="C184" t="s">
        <v>140</v>
      </c>
      <c r="D184" t="s">
        <v>323</v>
      </c>
    </row>
    <row r="185" spans="1:4" x14ac:dyDescent="0.25">
      <c r="A185">
        <v>116</v>
      </c>
      <c r="B185" t="s">
        <v>327</v>
      </c>
      <c r="C185" t="s">
        <v>140</v>
      </c>
      <c r="D185" t="s">
        <v>81</v>
      </c>
    </row>
    <row r="186" spans="1:4" x14ac:dyDescent="0.25">
      <c r="A186">
        <v>117</v>
      </c>
      <c r="B186" t="s">
        <v>312</v>
      </c>
      <c r="C186" t="s">
        <v>140</v>
      </c>
      <c r="D186" t="s">
        <v>81</v>
      </c>
    </row>
    <row r="187" spans="1:4" x14ac:dyDescent="0.25">
      <c r="A187">
        <v>118</v>
      </c>
      <c r="B187" t="s">
        <v>248</v>
      </c>
      <c r="C187" t="s">
        <v>140</v>
      </c>
      <c r="D187" t="s">
        <v>81</v>
      </c>
    </row>
    <row r="188" spans="1:4" x14ac:dyDescent="0.25">
      <c r="A188">
        <v>119</v>
      </c>
      <c r="B188" t="s">
        <v>328</v>
      </c>
      <c r="C188" t="s">
        <v>140</v>
      </c>
      <c r="D188" t="s">
        <v>81</v>
      </c>
    </row>
    <row r="189" spans="1:4" x14ac:dyDescent="0.25">
      <c r="A189">
        <v>120</v>
      </c>
      <c r="B189" t="s">
        <v>329</v>
      </c>
      <c r="C189" t="s">
        <v>140</v>
      </c>
      <c r="D189" t="s">
        <v>81</v>
      </c>
    </row>
    <row r="190" spans="1:4" x14ac:dyDescent="0.25">
      <c r="A190">
        <v>121</v>
      </c>
      <c r="B190" t="s">
        <v>330</v>
      </c>
      <c r="C190" t="s">
        <v>140</v>
      </c>
      <c r="D190" t="s">
        <v>81</v>
      </c>
    </row>
    <row r="191" spans="1:4" x14ac:dyDescent="0.25">
      <c r="A191">
        <v>122</v>
      </c>
      <c r="B191" t="s">
        <v>58</v>
      </c>
      <c r="C191" t="s">
        <v>231</v>
      </c>
      <c r="D191" t="s">
        <v>53</v>
      </c>
    </row>
    <row r="192" spans="1:4" x14ac:dyDescent="0.25">
      <c r="A192">
        <v>123</v>
      </c>
      <c r="B192" t="s">
        <v>57</v>
      </c>
      <c r="C192" t="s">
        <v>231</v>
      </c>
      <c r="D192" t="s">
        <v>53</v>
      </c>
    </row>
    <row r="193" spans="1:4" x14ac:dyDescent="0.25">
      <c r="A193">
        <v>124</v>
      </c>
      <c r="B193" t="s">
        <v>311</v>
      </c>
      <c r="C193" t="s">
        <v>231</v>
      </c>
      <c r="D193" t="s">
        <v>53</v>
      </c>
    </row>
    <row r="194" spans="1:4" x14ac:dyDescent="0.25">
      <c r="A194">
        <v>125</v>
      </c>
      <c r="B194" t="s">
        <v>54</v>
      </c>
      <c r="C194" t="s">
        <v>231</v>
      </c>
      <c r="D194" t="s">
        <v>53</v>
      </c>
    </row>
    <row r="195" spans="1:4" x14ac:dyDescent="0.25">
      <c r="A195">
        <v>126</v>
      </c>
      <c r="B195" t="s">
        <v>331</v>
      </c>
      <c r="C195" t="s">
        <v>231</v>
      </c>
      <c r="D195" t="s">
        <v>53</v>
      </c>
    </row>
    <row r="196" spans="1:4" x14ac:dyDescent="0.25">
      <c r="A196">
        <v>127</v>
      </c>
      <c r="B196" t="s">
        <v>332</v>
      </c>
      <c r="C196" t="s">
        <v>231</v>
      </c>
      <c r="D196" t="s">
        <v>53</v>
      </c>
    </row>
    <row r="197" spans="1:4" x14ac:dyDescent="0.25">
      <c r="A197">
        <v>128</v>
      </c>
      <c r="B197" t="s">
        <v>66</v>
      </c>
      <c r="C197" t="s">
        <v>231</v>
      </c>
      <c r="D197" t="s">
        <v>53</v>
      </c>
    </row>
    <row r="198" spans="1:4" x14ac:dyDescent="0.25">
      <c r="A198">
        <v>129</v>
      </c>
      <c r="B198" t="s">
        <v>69</v>
      </c>
      <c r="C198" t="s">
        <v>231</v>
      </c>
      <c r="D198" t="s">
        <v>53</v>
      </c>
    </row>
    <row r="199" spans="1:4" x14ac:dyDescent="0.25">
      <c r="A199">
        <v>130</v>
      </c>
      <c r="B199" t="s">
        <v>63</v>
      </c>
      <c r="C199" t="s">
        <v>231</v>
      </c>
      <c r="D199" t="s">
        <v>53</v>
      </c>
    </row>
    <row r="200" spans="1:4" x14ac:dyDescent="0.25">
      <c r="A200">
        <v>131</v>
      </c>
      <c r="B200" t="s">
        <v>307</v>
      </c>
      <c r="C200" t="s">
        <v>231</v>
      </c>
      <c r="D200" t="s">
        <v>53</v>
      </c>
    </row>
    <row r="201" spans="1:4" x14ac:dyDescent="0.25">
      <c r="A201">
        <v>132</v>
      </c>
      <c r="B201" t="s">
        <v>61</v>
      </c>
      <c r="C201" t="s">
        <v>231</v>
      </c>
      <c r="D201" t="s">
        <v>53</v>
      </c>
    </row>
    <row r="202" spans="1:4" x14ac:dyDescent="0.25">
      <c r="A202">
        <v>133</v>
      </c>
      <c r="B202" t="s">
        <v>333</v>
      </c>
      <c r="C202" t="s">
        <v>231</v>
      </c>
      <c r="D202" t="s">
        <v>53</v>
      </c>
    </row>
    <row r="203" spans="1:4" x14ac:dyDescent="0.25">
      <c r="A203">
        <v>134</v>
      </c>
      <c r="B203" t="s">
        <v>62</v>
      </c>
      <c r="C203" t="s">
        <v>231</v>
      </c>
      <c r="D203" t="s">
        <v>53</v>
      </c>
    </row>
    <row r="204" spans="1:4" x14ac:dyDescent="0.25">
      <c r="A204">
        <v>135</v>
      </c>
      <c r="B204" t="s">
        <v>334</v>
      </c>
      <c r="C204" t="s">
        <v>231</v>
      </c>
      <c r="D204" t="s">
        <v>53</v>
      </c>
    </row>
    <row r="205" spans="1:4" x14ac:dyDescent="0.25">
      <c r="A205">
        <v>136</v>
      </c>
      <c r="B205" t="s">
        <v>60</v>
      </c>
      <c r="C205" t="s">
        <v>231</v>
      </c>
      <c r="D205" t="s">
        <v>53</v>
      </c>
    </row>
    <row r="206" spans="1:4" x14ac:dyDescent="0.25">
      <c r="A206">
        <v>137</v>
      </c>
      <c r="B206" t="s">
        <v>56</v>
      </c>
      <c r="C206" t="s">
        <v>231</v>
      </c>
      <c r="D206" t="s">
        <v>53</v>
      </c>
    </row>
    <row r="207" spans="1:4" x14ac:dyDescent="0.25">
      <c r="A207">
        <v>138</v>
      </c>
      <c r="B207" t="s">
        <v>335</v>
      </c>
      <c r="C207" t="s">
        <v>231</v>
      </c>
      <c r="D207" t="s">
        <v>53</v>
      </c>
    </row>
    <row r="208" spans="1:4" x14ac:dyDescent="0.25">
      <c r="A208">
        <v>139</v>
      </c>
      <c r="B208" t="s">
        <v>295</v>
      </c>
      <c r="C208" t="s">
        <v>231</v>
      </c>
      <c r="D208" t="s">
        <v>53</v>
      </c>
    </row>
    <row r="209" spans="1:4" x14ac:dyDescent="0.25">
      <c r="A209">
        <v>140</v>
      </c>
      <c r="B209" t="s">
        <v>336</v>
      </c>
      <c r="C209" t="s">
        <v>231</v>
      </c>
      <c r="D209" t="s">
        <v>53</v>
      </c>
    </row>
    <row r="210" spans="1:4" x14ac:dyDescent="0.25">
      <c r="A210">
        <v>141</v>
      </c>
      <c r="B210" t="s">
        <v>312</v>
      </c>
      <c r="C210" t="s">
        <v>231</v>
      </c>
      <c r="D210" t="s">
        <v>47</v>
      </c>
    </row>
    <row r="211" spans="1:4" x14ac:dyDescent="0.25">
      <c r="A211">
        <v>142</v>
      </c>
      <c r="B211" t="s">
        <v>78</v>
      </c>
      <c r="C211" t="s">
        <v>231</v>
      </c>
      <c r="D211" t="s">
        <v>47</v>
      </c>
    </row>
    <row r="212" spans="1:4" x14ac:dyDescent="0.25">
      <c r="A212">
        <v>143</v>
      </c>
      <c r="B212" t="s">
        <v>248</v>
      </c>
      <c r="C212" t="s">
        <v>231</v>
      </c>
      <c r="D212" t="s">
        <v>47</v>
      </c>
    </row>
    <row r="213" spans="1:4" x14ac:dyDescent="0.25">
      <c r="A213">
        <v>144</v>
      </c>
      <c r="B213" t="s">
        <v>79</v>
      </c>
      <c r="C213" t="s">
        <v>231</v>
      </c>
      <c r="D213" t="s">
        <v>47</v>
      </c>
    </row>
    <row r="214" spans="1:4" x14ac:dyDescent="0.25">
      <c r="A214">
        <v>145</v>
      </c>
      <c r="B214" t="s">
        <v>58</v>
      </c>
      <c r="C214" t="s">
        <v>229</v>
      </c>
      <c r="D214" t="s">
        <v>53</v>
      </c>
    </row>
    <row r="215" spans="1:4" x14ac:dyDescent="0.25">
      <c r="A215">
        <v>146</v>
      </c>
      <c r="B215" t="s">
        <v>88</v>
      </c>
      <c r="C215" t="s">
        <v>229</v>
      </c>
      <c r="D215" t="s">
        <v>53</v>
      </c>
    </row>
    <row r="216" spans="1:4" x14ac:dyDescent="0.25">
      <c r="A216">
        <v>147</v>
      </c>
      <c r="B216" t="s">
        <v>89</v>
      </c>
      <c r="C216" t="s">
        <v>229</v>
      </c>
      <c r="D216" t="s">
        <v>53</v>
      </c>
    </row>
    <row r="217" spans="1:4" x14ac:dyDescent="0.25">
      <c r="A217">
        <v>148</v>
      </c>
      <c r="B217" t="s">
        <v>302</v>
      </c>
      <c r="C217" t="s">
        <v>229</v>
      </c>
      <c r="D217" t="s">
        <v>53</v>
      </c>
    </row>
    <row r="218" spans="1:4" x14ac:dyDescent="0.25">
      <c r="A218">
        <v>149</v>
      </c>
      <c r="B218" t="s">
        <v>60</v>
      </c>
      <c r="C218" t="s">
        <v>229</v>
      </c>
      <c r="D218" t="s">
        <v>53</v>
      </c>
    </row>
    <row r="219" spans="1:4" x14ac:dyDescent="0.25">
      <c r="A219">
        <v>150</v>
      </c>
      <c r="B219" t="s">
        <v>337</v>
      </c>
      <c r="C219" t="s">
        <v>229</v>
      </c>
      <c r="D219" t="s">
        <v>53</v>
      </c>
    </row>
    <row r="220" spans="1:4" x14ac:dyDescent="0.25">
      <c r="A220">
        <v>151</v>
      </c>
      <c r="B220" t="s">
        <v>338</v>
      </c>
      <c r="C220" t="s">
        <v>229</v>
      </c>
      <c r="D220" t="s">
        <v>53</v>
      </c>
    </row>
    <row r="221" spans="1:4" x14ac:dyDescent="0.25">
      <c r="A221">
        <v>152</v>
      </c>
      <c r="B221" t="s">
        <v>68</v>
      </c>
      <c r="C221" t="s">
        <v>229</v>
      </c>
      <c r="D221" t="s">
        <v>53</v>
      </c>
    </row>
    <row r="222" spans="1:4" x14ac:dyDescent="0.25">
      <c r="A222">
        <v>153</v>
      </c>
      <c r="B222" t="s">
        <v>106</v>
      </c>
      <c r="C222" t="s">
        <v>229</v>
      </c>
      <c r="D222" t="s">
        <v>53</v>
      </c>
    </row>
    <row r="223" spans="1:4" x14ac:dyDescent="0.25">
      <c r="A223">
        <v>154</v>
      </c>
      <c r="B223" t="s">
        <v>307</v>
      </c>
      <c r="C223" t="s">
        <v>229</v>
      </c>
      <c r="D223" t="s">
        <v>53</v>
      </c>
    </row>
    <row r="224" spans="1:4" x14ac:dyDescent="0.25">
      <c r="A224">
        <v>155</v>
      </c>
      <c r="B224" t="s">
        <v>54</v>
      </c>
      <c r="C224" t="s">
        <v>229</v>
      </c>
      <c r="D224" t="s">
        <v>53</v>
      </c>
    </row>
    <row r="225" spans="1:4" x14ac:dyDescent="0.25">
      <c r="A225">
        <v>156</v>
      </c>
      <c r="B225" t="s">
        <v>66</v>
      </c>
      <c r="C225" t="s">
        <v>229</v>
      </c>
      <c r="D225" t="s">
        <v>53</v>
      </c>
    </row>
    <row r="226" spans="1:4" x14ac:dyDescent="0.25">
      <c r="A226">
        <v>157</v>
      </c>
      <c r="B226" t="s">
        <v>64</v>
      </c>
      <c r="C226" t="s">
        <v>229</v>
      </c>
      <c r="D226" t="s">
        <v>53</v>
      </c>
    </row>
    <row r="227" spans="1:4" x14ac:dyDescent="0.25">
      <c r="A227">
        <v>158</v>
      </c>
      <c r="B227" t="s">
        <v>73</v>
      </c>
      <c r="C227" t="s">
        <v>229</v>
      </c>
      <c r="D227" t="s">
        <v>81</v>
      </c>
    </row>
    <row r="228" spans="1:4" x14ac:dyDescent="0.25">
      <c r="A228">
        <v>159</v>
      </c>
      <c r="B228" t="s">
        <v>78</v>
      </c>
      <c r="C228" t="s">
        <v>229</v>
      </c>
      <c r="D228" t="s">
        <v>81</v>
      </c>
    </row>
    <row r="229" spans="1:4" x14ac:dyDescent="0.25">
      <c r="A229">
        <v>160</v>
      </c>
      <c r="B229" t="s">
        <v>339</v>
      </c>
      <c r="C229" t="s">
        <v>229</v>
      </c>
      <c r="D229" t="s">
        <v>81</v>
      </c>
    </row>
    <row r="230" spans="1:4" x14ac:dyDescent="0.25">
      <c r="A230">
        <v>161</v>
      </c>
      <c r="B230" t="s">
        <v>51</v>
      </c>
      <c r="C230" t="s">
        <v>229</v>
      </c>
      <c r="D230" t="s">
        <v>340</v>
      </c>
    </row>
    <row r="231" spans="1:4" x14ac:dyDescent="0.25">
      <c r="A231">
        <v>162</v>
      </c>
      <c r="B231" t="s">
        <v>341</v>
      </c>
      <c r="C231" t="s">
        <v>229</v>
      </c>
      <c r="D231" t="s">
        <v>340</v>
      </c>
    </row>
    <row r="232" spans="1:4" x14ac:dyDescent="0.25">
      <c r="A232">
        <v>163</v>
      </c>
      <c r="B232" t="s">
        <v>342</v>
      </c>
      <c r="C232" t="s">
        <v>229</v>
      </c>
      <c r="D232" t="s">
        <v>340</v>
      </c>
    </row>
    <row r="233" spans="1:4" x14ac:dyDescent="0.25">
      <c r="A233">
        <v>164</v>
      </c>
      <c r="B233" t="s">
        <v>343</v>
      </c>
      <c r="C233" t="s">
        <v>229</v>
      </c>
      <c r="D233" t="s">
        <v>344</v>
      </c>
    </row>
    <row r="234" spans="1:4" x14ac:dyDescent="0.25">
      <c r="A234">
        <v>165</v>
      </c>
      <c r="B234" t="s">
        <v>345</v>
      </c>
      <c r="C234" t="s">
        <v>229</v>
      </c>
      <c r="D234" t="s">
        <v>344</v>
      </c>
    </row>
    <row r="235" spans="1:4" x14ac:dyDescent="0.25">
      <c r="A235">
        <v>166</v>
      </c>
      <c r="B235" t="s">
        <v>346</v>
      </c>
      <c r="C235" t="s">
        <v>229</v>
      </c>
      <c r="D235" t="s">
        <v>344</v>
      </c>
    </row>
    <row r="236" spans="1:4" x14ac:dyDescent="0.25">
      <c r="A236">
        <v>167</v>
      </c>
      <c r="B236" t="s">
        <v>347</v>
      </c>
      <c r="C236" t="s">
        <v>229</v>
      </c>
      <c r="D236" t="s">
        <v>344</v>
      </c>
    </row>
    <row r="237" spans="1:4" x14ac:dyDescent="0.25">
      <c r="A237">
        <v>168</v>
      </c>
      <c r="B237" t="s">
        <v>42</v>
      </c>
      <c r="C237" t="s">
        <v>229</v>
      </c>
      <c r="D237" t="s">
        <v>344</v>
      </c>
    </row>
    <row r="238" spans="1:4" x14ac:dyDescent="0.25">
      <c r="A238">
        <v>169</v>
      </c>
      <c r="B238" t="s">
        <v>348</v>
      </c>
      <c r="C238" t="s">
        <v>161</v>
      </c>
      <c r="D238" t="s">
        <v>53</v>
      </c>
    </row>
    <row r="239" spans="1:4" x14ac:dyDescent="0.25">
      <c r="A239">
        <v>170</v>
      </c>
      <c r="B239" t="s">
        <v>349</v>
      </c>
      <c r="C239" t="s">
        <v>161</v>
      </c>
      <c r="D239" t="s">
        <v>53</v>
      </c>
    </row>
    <row r="240" spans="1:4" x14ac:dyDescent="0.25">
      <c r="A240">
        <v>171</v>
      </c>
      <c r="B240" t="s">
        <v>88</v>
      </c>
      <c r="C240" t="s">
        <v>161</v>
      </c>
      <c r="D240" t="s">
        <v>53</v>
      </c>
    </row>
    <row r="241" spans="1:4" x14ac:dyDescent="0.25">
      <c r="A241">
        <v>172</v>
      </c>
      <c r="B241" t="s">
        <v>57</v>
      </c>
      <c r="C241" t="s">
        <v>161</v>
      </c>
      <c r="D241" t="s">
        <v>53</v>
      </c>
    </row>
    <row r="242" spans="1:4" x14ac:dyDescent="0.25">
      <c r="A242">
        <v>173</v>
      </c>
      <c r="B242" t="s">
        <v>350</v>
      </c>
      <c r="C242" t="s">
        <v>161</v>
      </c>
      <c r="D242" t="s">
        <v>53</v>
      </c>
    </row>
    <row r="243" spans="1:4" x14ac:dyDescent="0.25">
      <c r="A243">
        <v>174</v>
      </c>
      <c r="B243" t="s">
        <v>351</v>
      </c>
      <c r="C243" t="s">
        <v>161</v>
      </c>
      <c r="D243" t="s">
        <v>53</v>
      </c>
    </row>
    <row r="244" spans="1:4" x14ac:dyDescent="0.25">
      <c r="A244">
        <v>175</v>
      </c>
      <c r="B244" t="s">
        <v>302</v>
      </c>
      <c r="C244" t="s">
        <v>161</v>
      </c>
      <c r="D244" t="s">
        <v>53</v>
      </c>
    </row>
    <row r="245" spans="1:4" x14ac:dyDescent="0.25">
      <c r="A245">
        <v>176</v>
      </c>
      <c r="B245" t="s">
        <v>352</v>
      </c>
      <c r="C245" t="s">
        <v>161</v>
      </c>
      <c r="D245" t="s">
        <v>53</v>
      </c>
    </row>
    <row r="246" spans="1:4" x14ac:dyDescent="0.25">
      <c r="A246">
        <v>177</v>
      </c>
      <c r="B246" t="s">
        <v>353</v>
      </c>
      <c r="C246" t="s">
        <v>161</v>
      </c>
      <c r="D246" t="s">
        <v>53</v>
      </c>
    </row>
    <row r="247" spans="1:4" x14ac:dyDescent="0.25">
      <c r="A247">
        <v>178</v>
      </c>
      <c r="B247" t="s">
        <v>60</v>
      </c>
      <c r="C247" t="s">
        <v>161</v>
      </c>
      <c r="D247" t="s">
        <v>53</v>
      </c>
    </row>
    <row r="248" spans="1:4" x14ac:dyDescent="0.25">
      <c r="A248">
        <v>179</v>
      </c>
      <c r="B248" t="s">
        <v>354</v>
      </c>
      <c r="C248" t="s">
        <v>161</v>
      </c>
      <c r="D248" t="s">
        <v>53</v>
      </c>
    </row>
    <row r="249" spans="1:4" x14ac:dyDescent="0.25">
      <c r="A249">
        <v>180</v>
      </c>
      <c r="B249" t="s">
        <v>355</v>
      </c>
      <c r="C249" t="s">
        <v>161</v>
      </c>
      <c r="D249" t="s">
        <v>53</v>
      </c>
    </row>
    <row r="250" spans="1:4" x14ac:dyDescent="0.25">
      <c r="A250">
        <v>181</v>
      </c>
      <c r="B250" t="s">
        <v>356</v>
      </c>
      <c r="C250" t="s">
        <v>161</v>
      </c>
      <c r="D250" t="s">
        <v>53</v>
      </c>
    </row>
    <row r="251" spans="1:4" x14ac:dyDescent="0.25">
      <c r="A251">
        <v>182</v>
      </c>
      <c r="B251" t="s">
        <v>357</v>
      </c>
      <c r="C251" t="s">
        <v>161</v>
      </c>
      <c r="D251" t="s">
        <v>53</v>
      </c>
    </row>
    <row r="252" spans="1:4" x14ac:dyDescent="0.25">
      <c r="A252">
        <v>183</v>
      </c>
      <c r="B252" t="s">
        <v>68</v>
      </c>
      <c r="C252" t="s">
        <v>161</v>
      </c>
      <c r="D252" t="s">
        <v>53</v>
      </c>
    </row>
    <row r="253" spans="1:4" x14ac:dyDescent="0.25">
      <c r="A253">
        <v>184</v>
      </c>
      <c r="B253" t="s">
        <v>358</v>
      </c>
      <c r="C253" t="s">
        <v>161</v>
      </c>
      <c r="D253" t="s">
        <v>53</v>
      </c>
    </row>
    <row r="254" spans="1:4" x14ac:dyDescent="0.25">
      <c r="A254">
        <v>185</v>
      </c>
      <c r="B254" t="s">
        <v>105</v>
      </c>
      <c r="C254" t="s">
        <v>161</v>
      </c>
      <c r="D254" t="s">
        <v>53</v>
      </c>
    </row>
    <row r="255" spans="1:4" x14ac:dyDescent="0.25">
      <c r="A255">
        <v>186</v>
      </c>
      <c r="B255" t="s">
        <v>69</v>
      </c>
      <c r="C255" t="s">
        <v>161</v>
      </c>
      <c r="D255" t="s">
        <v>53</v>
      </c>
    </row>
    <row r="256" spans="1:4" x14ac:dyDescent="0.25">
      <c r="A256">
        <v>187</v>
      </c>
      <c r="B256" t="s">
        <v>359</v>
      </c>
      <c r="C256" t="s">
        <v>161</v>
      </c>
      <c r="D256" t="s">
        <v>53</v>
      </c>
    </row>
    <row r="257" spans="1:4" x14ac:dyDescent="0.25">
      <c r="A257">
        <v>188</v>
      </c>
      <c r="B257" t="s">
        <v>360</v>
      </c>
      <c r="C257" t="s">
        <v>161</v>
      </c>
      <c r="D257" t="s">
        <v>53</v>
      </c>
    </row>
    <row r="258" spans="1:4" x14ac:dyDescent="0.25">
      <c r="A258">
        <v>189</v>
      </c>
      <c r="B258" t="s">
        <v>361</v>
      </c>
      <c r="C258" t="s">
        <v>161</v>
      </c>
      <c r="D258" t="s">
        <v>53</v>
      </c>
    </row>
    <row r="259" spans="1:4" x14ac:dyDescent="0.25">
      <c r="A259">
        <v>190</v>
      </c>
      <c r="B259" t="s">
        <v>311</v>
      </c>
      <c r="C259" t="s">
        <v>161</v>
      </c>
      <c r="D259" t="s">
        <v>53</v>
      </c>
    </row>
    <row r="260" spans="1:4" x14ac:dyDescent="0.25">
      <c r="A260">
        <v>191</v>
      </c>
      <c r="B260" t="s">
        <v>54</v>
      </c>
      <c r="C260" t="s">
        <v>161</v>
      </c>
      <c r="D260" t="s">
        <v>53</v>
      </c>
    </row>
    <row r="261" spans="1:4" x14ac:dyDescent="0.25">
      <c r="A261">
        <v>192</v>
      </c>
      <c r="B261" t="s">
        <v>310</v>
      </c>
      <c r="C261" t="s">
        <v>161</v>
      </c>
      <c r="D261" t="s">
        <v>53</v>
      </c>
    </row>
    <row r="262" spans="1:4" x14ac:dyDescent="0.25">
      <c r="A262">
        <v>193</v>
      </c>
      <c r="B262" t="s">
        <v>362</v>
      </c>
      <c r="C262" t="s">
        <v>161</v>
      </c>
      <c r="D262" t="s">
        <v>53</v>
      </c>
    </row>
    <row r="263" spans="1:4" x14ac:dyDescent="0.25">
      <c r="A263">
        <v>194</v>
      </c>
      <c r="B263" t="s">
        <v>73</v>
      </c>
      <c r="C263" t="s">
        <v>161</v>
      </c>
      <c r="D263" t="s">
        <v>47</v>
      </c>
    </row>
    <row r="264" spans="1:4" x14ac:dyDescent="0.25">
      <c r="A264">
        <v>195</v>
      </c>
      <c r="B264" t="s">
        <v>363</v>
      </c>
      <c r="C264" t="s">
        <v>161</v>
      </c>
      <c r="D264" t="s">
        <v>47</v>
      </c>
    </row>
    <row r="265" spans="1:4" x14ac:dyDescent="0.25">
      <c r="A265">
        <v>196</v>
      </c>
      <c r="B265" t="s">
        <v>364</v>
      </c>
      <c r="C265" t="s">
        <v>161</v>
      </c>
      <c r="D265" t="s">
        <v>47</v>
      </c>
    </row>
    <row r="266" spans="1:4" x14ac:dyDescent="0.25">
      <c r="A266">
        <v>197</v>
      </c>
      <c r="B266" t="s">
        <v>79</v>
      </c>
      <c r="C266" t="s">
        <v>161</v>
      </c>
      <c r="D266" t="s">
        <v>47</v>
      </c>
    </row>
    <row r="267" spans="1:4" x14ac:dyDescent="0.25">
      <c r="A267">
        <v>198</v>
      </c>
      <c r="B267" t="s">
        <v>48</v>
      </c>
      <c r="C267" t="s">
        <v>161</v>
      </c>
      <c r="D267" t="s">
        <v>47</v>
      </c>
    </row>
    <row r="268" spans="1:4" x14ac:dyDescent="0.25">
      <c r="A268">
        <v>199</v>
      </c>
      <c r="B268" t="s">
        <v>64</v>
      </c>
      <c r="C268" t="s">
        <v>161</v>
      </c>
      <c r="D268" t="s">
        <v>53</v>
      </c>
    </row>
    <row r="269" spans="1:4" x14ac:dyDescent="0.25">
      <c r="A269">
        <v>200</v>
      </c>
      <c r="B269" t="s">
        <v>365</v>
      </c>
      <c r="C269" t="s">
        <v>161</v>
      </c>
      <c r="D269" t="s">
        <v>53</v>
      </c>
    </row>
    <row r="270" spans="1:4" x14ac:dyDescent="0.25">
      <c r="A270">
        <v>201</v>
      </c>
      <c r="B270" t="s">
        <v>66</v>
      </c>
      <c r="C270" t="s">
        <v>161</v>
      </c>
      <c r="D270" t="s">
        <v>53</v>
      </c>
    </row>
    <row r="271" spans="1:4" x14ac:dyDescent="0.25">
      <c r="A271">
        <v>202</v>
      </c>
      <c r="B271" t="s">
        <v>366</v>
      </c>
      <c r="C271" t="s">
        <v>161</v>
      </c>
      <c r="D271" t="s">
        <v>53</v>
      </c>
    </row>
    <row r="272" spans="1:4" x14ac:dyDescent="0.25">
      <c r="A272">
        <v>203</v>
      </c>
      <c r="B272" t="s">
        <v>367</v>
      </c>
      <c r="C272" t="s">
        <v>238</v>
      </c>
      <c r="D272" t="s">
        <v>323</v>
      </c>
    </row>
    <row r="273" spans="1:4" x14ac:dyDescent="0.25">
      <c r="A273">
        <v>204</v>
      </c>
      <c r="B273" t="s">
        <v>84</v>
      </c>
      <c r="C273" t="s">
        <v>238</v>
      </c>
      <c r="D273" t="s">
        <v>323</v>
      </c>
    </row>
    <row r="274" spans="1:4" x14ac:dyDescent="0.25">
      <c r="A274">
        <v>205</v>
      </c>
      <c r="B274" t="s">
        <v>339</v>
      </c>
      <c r="C274" t="s">
        <v>238</v>
      </c>
      <c r="D274" t="s">
        <v>323</v>
      </c>
    </row>
    <row r="275" spans="1:4" x14ac:dyDescent="0.25">
      <c r="A275">
        <v>206</v>
      </c>
      <c r="B275" t="s">
        <v>368</v>
      </c>
      <c r="C275" t="s">
        <v>238</v>
      </c>
      <c r="D275" t="s">
        <v>323</v>
      </c>
    </row>
    <row r="276" spans="1:4" x14ac:dyDescent="0.25">
      <c r="A276">
        <v>207</v>
      </c>
      <c r="B276" t="s">
        <v>369</v>
      </c>
      <c r="C276" t="s">
        <v>238</v>
      </c>
      <c r="D276" t="s">
        <v>323</v>
      </c>
    </row>
    <row r="277" spans="1:4" x14ac:dyDescent="0.25">
      <c r="A277">
        <v>208</v>
      </c>
      <c r="B277" t="s">
        <v>370</v>
      </c>
      <c r="C277" t="s">
        <v>238</v>
      </c>
      <c r="D277" t="s">
        <v>323</v>
      </c>
    </row>
    <row r="278" spans="1:4" x14ac:dyDescent="0.25">
      <c r="A278">
        <v>209</v>
      </c>
      <c r="B278" t="s">
        <v>79</v>
      </c>
      <c r="C278" t="s">
        <v>238</v>
      </c>
      <c r="D278" t="s">
        <v>323</v>
      </c>
    </row>
    <row r="279" spans="1:4" x14ac:dyDescent="0.25">
      <c r="A279">
        <v>210</v>
      </c>
      <c r="B279" t="s">
        <v>371</v>
      </c>
      <c r="C279" t="s">
        <v>238</v>
      </c>
      <c r="D279" t="s">
        <v>323</v>
      </c>
    </row>
    <row r="280" spans="1:4" x14ac:dyDescent="0.25">
      <c r="A280">
        <v>211</v>
      </c>
      <c r="B280" t="s">
        <v>302</v>
      </c>
      <c r="C280" t="s">
        <v>238</v>
      </c>
      <c r="D280" t="s">
        <v>323</v>
      </c>
    </row>
    <row r="281" spans="1:4" x14ac:dyDescent="0.25">
      <c r="A281">
        <v>212</v>
      </c>
      <c r="B281" t="s">
        <v>372</v>
      </c>
      <c r="C281" t="s">
        <v>238</v>
      </c>
      <c r="D281" t="s">
        <v>81</v>
      </c>
    </row>
    <row r="282" spans="1:4" x14ac:dyDescent="0.25">
      <c r="A282">
        <v>213</v>
      </c>
      <c r="B282" t="s">
        <v>373</v>
      </c>
      <c r="C282" t="s">
        <v>238</v>
      </c>
      <c r="D282" t="s">
        <v>81</v>
      </c>
    </row>
    <row r="283" spans="1:4" x14ac:dyDescent="0.25">
      <c r="A283">
        <v>214</v>
      </c>
      <c r="B283" t="s">
        <v>374</v>
      </c>
      <c r="C283" t="s">
        <v>238</v>
      </c>
      <c r="D283" t="s">
        <v>81</v>
      </c>
    </row>
    <row r="284" spans="1:4" x14ac:dyDescent="0.25">
      <c r="A284">
        <v>215</v>
      </c>
      <c r="B284" t="s">
        <v>375</v>
      </c>
      <c r="C284" t="s">
        <v>238</v>
      </c>
      <c r="D284" t="s">
        <v>376</v>
      </c>
    </row>
    <row r="285" spans="1:4" x14ac:dyDescent="0.25">
      <c r="A285">
        <v>216</v>
      </c>
      <c r="B285" t="s">
        <v>377</v>
      </c>
      <c r="C285" t="s">
        <v>238</v>
      </c>
      <c r="D285" t="s">
        <v>376</v>
      </c>
    </row>
    <row r="286" spans="1:4" x14ac:dyDescent="0.25">
      <c r="A286">
        <v>217</v>
      </c>
      <c r="B286" t="s">
        <v>378</v>
      </c>
      <c r="C286" t="s">
        <v>238</v>
      </c>
      <c r="D286" t="s">
        <v>376</v>
      </c>
    </row>
    <row r="287" spans="1:4" x14ac:dyDescent="0.25">
      <c r="A287">
        <v>218</v>
      </c>
      <c r="B287" t="s">
        <v>379</v>
      </c>
      <c r="C287" t="s">
        <v>238</v>
      </c>
      <c r="D287" t="s">
        <v>376</v>
      </c>
    </row>
    <row r="288" spans="1:4" x14ac:dyDescent="0.25">
      <c r="A288">
        <v>219</v>
      </c>
      <c r="B288" t="s">
        <v>380</v>
      </c>
      <c r="C288" t="s">
        <v>238</v>
      </c>
      <c r="D288" t="s">
        <v>376</v>
      </c>
    </row>
    <row r="289" spans="1:4" x14ac:dyDescent="0.25">
      <c r="A289">
        <v>220</v>
      </c>
      <c r="B289" t="s">
        <v>381</v>
      </c>
      <c r="C289" t="s">
        <v>238</v>
      </c>
      <c r="D289" t="s">
        <v>376</v>
      </c>
    </row>
    <row r="290" spans="1:4" x14ac:dyDescent="0.25">
      <c r="A290">
        <v>221</v>
      </c>
      <c r="B290" t="s">
        <v>382</v>
      </c>
      <c r="C290" t="s">
        <v>238</v>
      </c>
      <c r="D290" t="s">
        <v>376</v>
      </c>
    </row>
    <row r="291" spans="1:4" x14ac:dyDescent="0.25">
      <c r="A291">
        <v>222</v>
      </c>
      <c r="B291" t="s">
        <v>383</v>
      </c>
      <c r="C291" t="s">
        <v>238</v>
      </c>
      <c r="D291" t="s">
        <v>376</v>
      </c>
    </row>
    <row r="292" spans="1:4" x14ac:dyDescent="0.25">
      <c r="A292">
        <v>223</v>
      </c>
      <c r="B292" t="s">
        <v>384</v>
      </c>
      <c r="C292" t="s">
        <v>238</v>
      </c>
      <c r="D292" t="s">
        <v>376</v>
      </c>
    </row>
    <row r="293" spans="1:4" x14ac:dyDescent="0.25">
      <c r="A293">
        <v>224</v>
      </c>
      <c r="B293" t="s">
        <v>385</v>
      </c>
      <c r="C293" t="s">
        <v>238</v>
      </c>
      <c r="D293" t="s">
        <v>376</v>
      </c>
    </row>
    <row r="294" spans="1:4" x14ac:dyDescent="0.25">
      <c r="A294">
        <v>225</v>
      </c>
      <c r="B294" t="s">
        <v>386</v>
      </c>
      <c r="C294" t="s">
        <v>238</v>
      </c>
      <c r="D294" t="s">
        <v>376</v>
      </c>
    </row>
    <row r="295" spans="1:4" x14ac:dyDescent="0.25">
      <c r="A295">
        <v>226</v>
      </c>
      <c r="B295" t="s">
        <v>387</v>
      </c>
      <c r="C295" t="s">
        <v>238</v>
      </c>
      <c r="D295" t="s">
        <v>376</v>
      </c>
    </row>
    <row r="296" spans="1:4" x14ac:dyDescent="0.25">
      <c r="A296">
        <v>227</v>
      </c>
      <c r="B296" t="s">
        <v>388</v>
      </c>
      <c r="C296" t="s">
        <v>238</v>
      </c>
      <c r="D296" t="s">
        <v>376</v>
      </c>
    </row>
    <row r="297" spans="1:4" x14ac:dyDescent="0.25">
      <c r="A297">
        <v>228</v>
      </c>
      <c r="B297" t="s">
        <v>389</v>
      </c>
      <c r="C297" t="s">
        <v>238</v>
      </c>
      <c r="D297" t="s">
        <v>376</v>
      </c>
    </row>
    <row r="298" spans="1:4" x14ac:dyDescent="0.25">
      <c r="A298">
        <v>229</v>
      </c>
      <c r="B298" t="s">
        <v>390</v>
      </c>
      <c r="C298" t="s">
        <v>238</v>
      </c>
      <c r="D298" t="s">
        <v>376</v>
      </c>
    </row>
    <row r="299" spans="1:4" x14ac:dyDescent="0.25">
      <c r="A299">
        <v>230</v>
      </c>
      <c r="B299" t="s">
        <v>97</v>
      </c>
      <c r="C299" t="s">
        <v>238</v>
      </c>
      <c r="D299" t="s">
        <v>376</v>
      </c>
    </row>
    <row r="300" spans="1:4" x14ac:dyDescent="0.25">
      <c r="A300">
        <v>231</v>
      </c>
      <c r="B300" t="s">
        <v>391</v>
      </c>
      <c r="C300" t="s">
        <v>238</v>
      </c>
      <c r="D300" t="s">
        <v>376</v>
      </c>
    </row>
    <row r="301" spans="1:4" x14ac:dyDescent="0.25">
      <c r="A301">
        <v>232</v>
      </c>
      <c r="B301" t="s">
        <v>392</v>
      </c>
      <c r="C301" t="s">
        <v>238</v>
      </c>
      <c r="D301" t="s">
        <v>376</v>
      </c>
    </row>
    <row r="302" spans="1:4" x14ac:dyDescent="0.25">
      <c r="A302">
        <v>233</v>
      </c>
      <c r="B302" t="s">
        <v>336</v>
      </c>
      <c r="C302" t="s">
        <v>238</v>
      </c>
      <c r="D302" t="s">
        <v>376</v>
      </c>
    </row>
    <row r="303" spans="1:4" x14ac:dyDescent="0.25">
      <c r="A303">
        <v>234</v>
      </c>
      <c r="B303" t="s">
        <v>393</v>
      </c>
      <c r="C303" t="s">
        <v>238</v>
      </c>
      <c r="D303" t="s">
        <v>376</v>
      </c>
    </row>
    <row r="304" spans="1:4" x14ac:dyDescent="0.25">
      <c r="A304">
        <v>235</v>
      </c>
      <c r="B304" t="s">
        <v>394</v>
      </c>
      <c r="C304" t="s">
        <v>240</v>
      </c>
      <c r="D304" t="s">
        <v>53</v>
      </c>
    </row>
    <row r="305" spans="1:4" x14ac:dyDescent="0.25">
      <c r="A305">
        <v>236</v>
      </c>
      <c r="B305" t="s">
        <v>395</v>
      </c>
      <c r="C305" t="s">
        <v>240</v>
      </c>
      <c r="D305" t="s">
        <v>53</v>
      </c>
    </row>
    <row r="306" spans="1:4" x14ac:dyDescent="0.25">
      <c r="A306">
        <v>237</v>
      </c>
      <c r="B306" t="s">
        <v>396</v>
      </c>
      <c r="C306" t="s">
        <v>240</v>
      </c>
      <c r="D306" t="s">
        <v>53</v>
      </c>
    </row>
    <row r="307" spans="1:4" x14ac:dyDescent="0.25">
      <c r="A307">
        <v>238</v>
      </c>
      <c r="B307" t="s">
        <v>397</v>
      </c>
      <c r="C307" t="s">
        <v>240</v>
      </c>
      <c r="D307" t="s">
        <v>53</v>
      </c>
    </row>
    <row r="308" spans="1:4" x14ac:dyDescent="0.25">
      <c r="A308">
        <v>239</v>
      </c>
      <c r="B308" t="s">
        <v>398</v>
      </c>
      <c r="C308" t="s">
        <v>240</v>
      </c>
      <c r="D308" t="s">
        <v>53</v>
      </c>
    </row>
    <row r="309" spans="1:4" x14ac:dyDescent="0.25">
      <c r="A309">
        <v>240</v>
      </c>
      <c r="B309" t="s">
        <v>399</v>
      </c>
      <c r="C309" t="s">
        <v>240</v>
      </c>
      <c r="D309" t="s">
        <v>53</v>
      </c>
    </row>
    <row r="310" spans="1:4" x14ac:dyDescent="0.25">
      <c r="A310">
        <v>241</v>
      </c>
      <c r="B310" t="s">
        <v>400</v>
      </c>
      <c r="C310" t="s">
        <v>240</v>
      </c>
      <c r="D310" t="s">
        <v>53</v>
      </c>
    </row>
    <row r="311" spans="1:4" x14ac:dyDescent="0.25">
      <c r="A311">
        <v>242</v>
      </c>
      <c r="B311" t="s">
        <v>401</v>
      </c>
      <c r="C311" t="s">
        <v>240</v>
      </c>
      <c r="D311" t="s">
        <v>53</v>
      </c>
    </row>
    <row r="312" spans="1:4" x14ac:dyDescent="0.25">
      <c r="A312">
        <v>243</v>
      </c>
      <c r="B312" t="s">
        <v>402</v>
      </c>
      <c r="C312" t="s">
        <v>240</v>
      </c>
      <c r="D312" t="s">
        <v>53</v>
      </c>
    </row>
    <row r="313" spans="1:4" x14ac:dyDescent="0.25">
      <c r="A313">
        <v>244</v>
      </c>
      <c r="B313" t="s">
        <v>403</v>
      </c>
      <c r="C313" t="s">
        <v>240</v>
      </c>
      <c r="D313" t="s">
        <v>53</v>
      </c>
    </row>
    <row r="314" spans="1:4" x14ac:dyDescent="0.25">
      <c r="A314">
        <v>245</v>
      </c>
      <c r="B314" t="s">
        <v>361</v>
      </c>
      <c r="C314" t="s">
        <v>240</v>
      </c>
      <c r="D314" t="s">
        <v>53</v>
      </c>
    </row>
    <row r="315" spans="1:4" x14ac:dyDescent="0.25">
      <c r="A315">
        <v>246</v>
      </c>
      <c r="B315" t="s">
        <v>404</v>
      </c>
      <c r="C315" t="s">
        <v>240</v>
      </c>
      <c r="D315" t="s">
        <v>53</v>
      </c>
    </row>
    <row r="316" spans="1:4" x14ac:dyDescent="0.25">
      <c r="A316">
        <v>247</v>
      </c>
      <c r="B316" t="s">
        <v>405</v>
      </c>
      <c r="C316" t="s">
        <v>240</v>
      </c>
      <c r="D316" t="s">
        <v>53</v>
      </c>
    </row>
    <row r="317" spans="1:4" x14ac:dyDescent="0.25">
      <c r="A317">
        <v>248</v>
      </c>
      <c r="B317" t="s">
        <v>406</v>
      </c>
      <c r="C317" t="s">
        <v>240</v>
      </c>
      <c r="D317" t="s">
        <v>53</v>
      </c>
    </row>
    <row r="318" spans="1:4" x14ac:dyDescent="0.25">
      <c r="A318">
        <v>249</v>
      </c>
      <c r="B318" t="s">
        <v>407</v>
      </c>
      <c r="C318" t="s">
        <v>240</v>
      </c>
      <c r="D318" t="s">
        <v>53</v>
      </c>
    </row>
    <row r="319" spans="1:4" x14ac:dyDescent="0.25">
      <c r="A319">
        <v>250</v>
      </c>
      <c r="B319" t="s">
        <v>408</v>
      </c>
      <c r="C319" t="s">
        <v>240</v>
      </c>
      <c r="D319" t="s">
        <v>53</v>
      </c>
    </row>
    <row r="320" spans="1:4" x14ac:dyDescent="0.25">
      <c r="A320">
        <v>251</v>
      </c>
      <c r="B320" t="s">
        <v>409</v>
      </c>
      <c r="C320" t="s">
        <v>240</v>
      </c>
      <c r="D320" t="s">
        <v>53</v>
      </c>
    </row>
    <row r="321" spans="1:4" x14ac:dyDescent="0.25">
      <c r="A321">
        <v>252</v>
      </c>
      <c r="B321" t="s">
        <v>410</v>
      </c>
      <c r="C321" t="s">
        <v>240</v>
      </c>
      <c r="D321" t="s">
        <v>53</v>
      </c>
    </row>
    <row r="322" spans="1:4" x14ac:dyDescent="0.25">
      <c r="A322">
        <v>253</v>
      </c>
      <c r="B322" t="s">
        <v>411</v>
      </c>
      <c r="C322" t="s">
        <v>240</v>
      </c>
      <c r="D322" t="s">
        <v>53</v>
      </c>
    </row>
    <row r="323" spans="1:4" x14ac:dyDescent="0.25">
      <c r="A323">
        <v>254</v>
      </c>
      <c r="B323" t="s">
        <v>412</v>
      </c>
      <c r="C323" t="s">
        <v>240</v>
      </c>
      <c r="D323" t="s">
        <v>53</v>
      </c>
    </row>
    <row r="324" spans="1:4" x14ac:dyDescent="0.25">
      <c r="A324">
        <v>255</v>
      </c>
      <c r="B324" t="s">
        <v>413</v>
      </c>
      <c r="C324" t="s">
        <v>240</v>
      </c>
      <c r="D324" t="s">
        <v>53</v>
      </c>
    </row>
    <row r="325" spans="1:4" x14ac:dyDescent="0.25">
      <c r="A325">
        <v>256</v>
      </c>
      <c r="B325" t="s">
        <v>414</v>
      </c>
      <c r="C325" t="s">
        <v>240</v>
      </c>
      <c r="D325" t="s">
        <v>53</v>
      </c>
    </row>
    <row r="326" spans="1:4" x14ac:dyDescent="0.25">
      <c r="A326">
        <v>257</v>
      </c>
      <c r="B326" t="s">
        <v>415</v>
      </c>
      <c r="C326" t="s">
        <v>240</v>
      </c>
      <c r="D326" t="s">
        <v>53</v>
      </c>
    </row>
    <row r="327" spans="1:4" x14ac:dyDescent="0.25">
      <c r="A327">
        <v>258</v>
      </c>
      <c r="B327" t="s">
        <v>416</v>
      </c>
      <c r="C327" t="s">
        <v>240</v>
      </c>
      <c r="D327" t="s">
        <v>53</v>
      </c>
    </row>
    <row r="328" spans="1:4" x14ac:dyDescent="0.25">
      <c r="A328">
        <v>259</v>
      </c>
      <c r="B328" t="s">
        <v>417</v>
      </c>
      <c r="C328" t="s">
        <v>240</v>
      </c>
    </row>
    <row r="329" spans="1:4" x14ac:dyDescent="0.25">
      <c r="A329">
        <v>260</v>
      </c>
      <c r="B329" t="s">
        <v>418</v>
      </c>
      <c r="C329" t="s">
        <v>240</v>
      </c>
    </row>
    <row r="330" spans="1:4" x14ac:dyDescent="0.25">
      <c r="A330">
        <v>261</v>
      </c>
      <c r="B330" t="s">
        <v>419</v>
      </c>
      <c r="C330" t="s">
        <v>240</v>
      </c>
    </row>
    <row r="331" spans="1:4" x14ac:dyDescent="0.25">
      <c r="A331">
        <v>262</v>
      </c>
      <c r="B331" t="s">
        <v>420</v>
      </c>
      <c r="C331" t="s">
        <v>240</v>
      </c>
    </row>
    <row r="332" spans="1:4" x14ac:dyDescent="0.25">
      <c r="A332">
        <v>263</v>
      </c>
      <c r="B332" t="s">
        <v>421</v>
      </c>
      <c r="C332" t="s">
        <v>240</v>
      </c>
    </row>
    <row r="333" spans="1:4" x14ac:dyDescent="0.25">
      <c r="A333">
        <v>264</v>
      </c>
      <c r="B333" t="s">
        <v>422</v>
      </c>
      <c r="C333" t="s">
        <v>240</v>
      </c>
    </row>
    <row r="334" spans="1:4" x14ac:dyDescent="0.25">
      <c r="A334">
        <v>265</v>
      </c>
      <c r="B334" t="s">
        <v>375</v>
      </c>
      <c r="C334" t="s">
        <v>240</v>
      </c>
      <c r="D334" t="s">
        <v>423</v>
      </c>
    </row>
    <row r="335" spans="1:4" x14ac:dyDescent="0.25">
      <c r="A335">
        <v>266</v>
      </c>
      <c r="B335" t="s">
        <v>98</v>
      </c>
      <c r="C335" t="s">
        <v>240</v>
      </c>
      <c r="D335" t="s">
        <v>423</v>
      </c>
    </row>
    <row r="336" spans="1:4" x14ac:dyDescent="0.25">
      <c r="A336">
        <v>267</v>
      </c>
      <c r="B336" t="s">
        <v>424</v>
      </c>
      <c r="C336" t="s">
        <v>240</v>
      </c>
      <c r="D336" t="s">
        <v>423</v>
      </c>
    </row>
    <row r="337" spans="1:4" x14ac:dyDescent="0.25">
      <c r="A337">
        <v>268</v>
      </c>
      <c r="B337" t="s">
        <v>425</v>
      </c>
      <c r="C337" t="s">
        <v>240</v>
      </c>
      <c r="D337" t="s">
        <v>423</v>
      </c>
    </row>
    <row r="338" spans="1:4" x14ac:dyDescent="0.25">
      <c r="A338">
        <v>269</v>
      </c>
      <c r="B338" t="s">
        <v>426</v>
      </c>
      <c r="C338" t="s">
        <v>240</v>
      </c>
      <c r="D338" t="s">
        <v>423</v>
      </c>
    </row>
    <row r="339" spans="1:4" x14ac:dyDescent="0.25">
      <c r="A339">
        <v>270</v>
      </c>
      <c r="B339" t="s">
        <v>427</v>
      </c>
      <c r="C339" t="s">
        <v>240</v>
      </c>
      <c r="D339" t="s">
        <v>423</v>
      </c>
    </row>
    <row r="340" spans="1:4" x14ac:dyDescent="0.25">
      <c r="A340">
        <v>271</v>
      </c>
      <c r="B340" t="s">
        <v>318</v>
      </c>
      <c r="C340" t="s">
        <v>240</v>
      </c>
      <c r="D340" t="s">
        <v>423</v>
      </c>
    </row>
    <row r="341" spans="1:4" x14ac:dyDescent="0.25">
      <c r="A341">
        <v>272</v>
      </c>
      <c r="B341" t="s">
        <v>359</v>
      </c>
      <c r="C341" t="s">
        <v>240</v>
      </c>
      <c r="D341" t="s">
        <v>423</v>
      </c>
    </row>
    <row r="342" spans="1:4" x14ac:dyDescent="0.25">
      <c r="A342">
        <v>273</v>
      </c>
      <c r="B342" t="s">
        <v>428</v>
      </c>
      <c r="C342" t="s">
        <v>240</v>
      </c>
      <c r="D342" t="s">
        <v>423</v>
      </c>
    </row>
    <row r="343" spans="1:4" x14ac:dyDescent="0.25">
      <c r="A343">
        <v>274</v>
      </c>
      <c r="B343" t="s">
        <v>429</v>
      </c>
      <c r="C343" t="s">
        <v>240</v>
      </c>
      <c r="D343" t="s">
        <v>423</v>
      </c>
    </row>
    <row r="344" spans="1:4" x14ac:dyDescent="0.25">
      <c r="A344">
        <v>275</v>
      </c>
      <c r="B344" t="s">
        <v>319</v>
      </c>
      <c r="C344" t="s">
        <v>240</v>
      </c>
      <c r="D344" t="s">
        <v>423</v>
      </c>
    </row>
    <row r="345" spans="1:4" x14ac:dyDescent="0.25">
      <c r="A345">
        <v>276</v>
      </c>
      <c r="B345" t="s">
        <v>430</v>
      </c>
      <c r="C345" t="s">
        <v>240</v>
      </c>
      <c r="D345" t="s">
        <v>423</v>
      </c>
    </row>
    <row r="346" spans="1:4" x14ac:dyDescent="0.25">
      <c r="A346">
        <v>277</v>
      </c>
      <c r="B346" t="s">
        <v>326</v>
      </c>
      <c r="C346" t="s">
        <v>240</v>
      </c>
      <c r="D346" t="s">
        <v>241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36"/>
  <sheetViews>
    <sheetView workbookViewId="0">
      <selection activeCell="A21" sqref="A21:K65"/>
    </sheetView>
  </sheetViews>
  <sheetFormatPr defaultRowHeight="15" x14ac:dyDescent="0.25"/>
  <cols>
    <col min="1" max="1" width="5.140625" bestFit="1" customWidth="1"/>
    <col min="2" max="2" width="12.85546875" bestFit="1" customWidth="1"/>
    <col min="3" max="3" width="8.7109375" bestFit="1" customWidth="1"/>
    <col min="4" max="4" width="12.85546875" bestFit="1" customWidth="1"/>
  </cols>
  <sheetData>
    <row r="1" spans="1:3" x14ac:dyDescent="0.25">
      <c r="A1" t="s">
        <v>39</v>
      </c>
      <c r="B1" t="s">
        <v>110</v>
      </c>
      <c r="C1" t="s">
        <v>476</v>
      </c>
    </row>
    <row r="2" spans="1:3" x14ac:dyDescent="0.25">
      <c r="A2">
        <v>35</v>
      </c>
      <c r="B2" t="s">
        <v>112</v>
      </c>
      <c r="C2" t="s">
        <v>479</v>
      </c>
    </row>
    <row r="3" spans="1:3" x14ac:dyDescent="0.25">
      <c r="A3">
        <v>36</v>
      </c>
      <c r="B3" t="s">
        <v>111</v>
      </c>
      <c r="C3" t="s">
        <v>479</v>
      </c>
    </row>
    <row r="4" spans="1:3" x14ac:dyDescent="0.25">
      <c r="A4">
        <v>37</v>
      </c>
      <c r="B4" t="s">
        <v>113</v>
      </c>
      <c r="C4" t="s">
        <v>479</v>
      </c>
    </row>
    <row r="5" spans="1:3" x14ac:dyDescent="0.25">
      <c r="A5">
        <v>38</v>
      </c>
      <c r="B5" t="s">
        <v>114</v>
      </c>
      <c r="C5" t="s">
        <v>479</v>
      </c>
    </row>
    <row r="6" spans="1:3" x14ac:dyDescent="0.25">
      <c r="A6">
        <v>39</v>
      </c>
      <c r="B6" t="s">
        <v>115</v>
      </c>
      <c r="C6" t="s">
        <v>479</v>
      </c>
    </row>
    <row r="7" spans="1:3" x14ac:dyDescent="0.25">
      <c r="A7">
        <v>40</v>
      </c>
      <c r="B7" t="s">
        <v>116</v>
      </c>
      <c r="C7" t="s">
        <v>479</v>
      </c>
    </row>
    <row r="8" spans="1:3" x14ac:dyDescent="0.25">
      <c r="A8">
        <v>41</v>
      </c>
      <c r="B8" t="s">
        <v>117</v>
      </c>
      <c r="C8" t="s">
        <v>479</v>
      </c>
    </row>
    <row r="9" spans="1:3" x14ac:dyDescent="0.25">
      <c r="A9">
        <v>42</v>
      </c>
      <c r="B9" t="s">
        <v>118</v>
      </c>
      <c r="C9" t="s">
        <v>479</v>
      </c>
    </row>
    <row r="10" spans="1:3" x14ac:dyDescent="0.25">
      <c r="A10">
        <v>43</v>
      </c>
      <c r="B10" t="s">
        <v>119</v>
      </c>
      <c r="C10" t="s">
        <v>479</v>
      </c>
    </row>
    <row r="11" spans="1:3" x14ac:dyDescent="0.25">
      <c r="A11">
        <v>44</v>
      </c>
      <c r="B11" t="s">
        <v>435</v>
      </c>
      <c r="C11" t="s">
        <v>479</v>
      </c>
    </row>
    <row r="12" spans="1:3" x14ac:dyDescent="0.25">
      <c r="A12">
        <v>45</v>
      </c>
      <c r="B12" t="s">
        <v>120</v>
      </c>
      <c r="C12" t="s">
        <v>479</v>
      </c>
    </row>
    <row r="13" spans="1:3" x14ac:dyDescent="0.25">
      <c r="A13">
        <v>46</v>
      </c>
      <c r="B13" t="s">
        <v>483</v>
      </c>
      <c r="C13" t="s">
        <v>477</v>
      </c>
    </row>
    <row r="14" spans="1:3" x14ac:dyDescent="0.25">
      <c r="A14">
        <v>47</v>
      </c>
      <c r="B14" t="s">
        <v>431</v>
      </c>
      <c r="C14" t="s">
        <v>477</v>
      </c>
    </row>
    <row r="15" spans="1:3" x14ac:dyDescent="0.25">
      <c r="A15">
        <v>48</v>
      </c>
      <c r="B15" t="s">
        <v>443</v>
      </c>
      <c r="C15" t="s">
        <v>477</v>
      </c>
    </row>
    <row r="16" spans="1:3" x14ac:dyDescent="0.25">
      <c r="A16">
        <v>49</v>
      </c>
      <c r="B16" t="s">
        <v>442</v>
      </c>
      <c r="C16" t="s">
        <v>477</v>
      </c>
    </row>
    <row r="17" spans="1:3" x14ac:dyDescent="0.25">
      <c r="A17">
        <v>50</v>
      </c>
      <c r="B17" t="s">
        <v>439</v>
      </c>
      <c r="C17" t="s">
        <v>477</v>
      </c>
    </row>
    <row r="18" spans="1:3" x14ac:dyDescent="0.25">
      <c r="A18">
        <v>51</v>
      </c>
      <c r="B18" t="s">
        <v>441</v>
      </c>
      <c r="C18" t="s">
        <v>477</v>
      </c>
    </row>
    <row r="19" spans="1:3" x14ac:dyDescent="0.25">
      <c r="A19">
        <v>52</v>
      </c>
      <c r="B19" t="s">
        <v>480</v>
      </c>
      <c r="C19" t="s">
        <v>477</v>
      </c>
    </row>
    <row r="20" spans="1:3" x14ac:dyDescent="0.25">
      <c r="A20">
        <v>53</v>
      </c>
      <c r="B20" t="s">
        <v>433</v>
      </c>
      <c r="C20" t="s">
        <v>477</v>
      </c>
    </row>
    <row r="21" spans="1:3" x14ac:dyDescent="0.25">
      <c r="A21">
        <v>54</v>
      </c>
      <c r="B21" t="s">
        <v>126</v>
      </c>
      <c r="C21" t="s">
        <v>477</v>
      </c>
    </row>
    <row r="22" spans="1:3" x14ac:dyDescent="0.25">
      <c r="A22">
        <v>55</v>
      </c>
      <c r="B22" t="s">
        <v>432</v>
      </c>
      <c r="C22" t="s">
        <v>477</v>
      </c>
    </row>
    <row r="23" spans="1:3" x14ac:dyDescent="0.25">
      <c r="A23">
        <v>56</v>
      </c>
      <c r="B23" t="s">
        <v>125</v>
      </c>
      <c r="C23" t="s">
        <v>477</v>
      </c>
    </row>
    <row r="24" spans="1:3" x14ac:dyDescent="0.25">
      <c r="A24">
        <v>57</v>
      </c>
      <c r="B24" t="s">
        <v>124</v>
      </c>
      <c r="C24" t="s">
        <v>477</v>
      </c>
    </row>
    <row r="25" spans="1:3" x14ac:dyDescent="0.25">
      <c r="A25">
        <v>58</v>
      </c>
      <c r="B25" t="s">
        <v>123</v>
      </c>
      <c r="C25" t="s">
        <v>477</v>
      </c>
    </row>
    <row r="26" spans="1:3" x14ac:dyDescent="0.25">
      <c r="A26">
        <v>59</v>
      </c>
      <c r="B26" t="s">
        <v>122</v>
      </c>
      <c r="C26" t="s">
        <v>477</v>
      </c>
    </row>
    <row r="27" spans="1:3" x14ac:dyDescent="0.25">
      <c r="A27">
        <v>60</v>
      </c>
      <c r="B27" t="s">
        <v>121</v>
      </c>
      <c r="C27" t="s">
        <v>477</v>
      </c>
    </row>
    <row r="28" spans="1:3" x14ac:dyDescent="0.25">
      <c r="A28">
        <v>61</v>
      </c>
      <c r="B28" t="s">
        <v>128</v>
      </c>
      <c r="C28" t="s">
        <v>478</v>
      </c>
    </row>
    <row r="29" spans="1:3" x14ac:dyDescent="0.25">
      <c r="A29">
        <v>62</v>
      </c>
      <c r="B29" t="s">
        <v>434</v>
      </c>
      <c r="C29" t="s">
        <v>478</v>
      </c>
    </row>
    <row r="30" spans="1:3" x14ac:dyDescent="0.25">
      <c r="A30">
        <v>63</v>
      </c>
      <c r="B30" t="s">
        <v>127</v>
      </c>
      <c r="C30" t="s">
        <v>478</v>
      </c>
    </row>
    <row r="31" spans="1:3" x14ac:dyDescent="0.25">
      <c r="A31">
        <v>64</v>
      </c>
      <c r="B31" t="s">
        <v>438</v>
      </c>
      <c r="C31" t="s">
        <v>478</v>
      </c>
    </row>
    <row r="32" spans="1:3" x14ac:dyDescent="0.25">
      <c r="A32">
        <v>65</v>
      </c>
      <c r="B32" t="s">
        <v>440</v>
      </c>
      <c r="C32" t="s">
        <v>478</v>
      </c>
    </row>
    <row r="33" spans="1:3" x14ac:dyDescent="0.25">
      <c r="A33">
        <v>66</v>
      </c>
      <c r="B33" t="s">
        <v>437</v>
      </c>
      <c r="C33" t="s">
        <v>478</v>
      </c>
    </row>
    <row r="34" spans="1:3" x14ac:dyDescent="0.25">
      <c r="A34">
        <v>67</v>
      </c>
      <c r="B34" t="s">
        <v>436</v>
      </c>
      <c r="C34" t="s">
        <v>478</v>
      </c>
    </row>
    <row r="35" spans="1:3" x14ac:dyDescent="0.25">
      <c r="A35">
        <v>68</v>
      </c>
      <c r="B35" t="s">
        <v>484</v>
      </c>
      <c r="C35" t="s">
        <v>485</v>
      </c>
    </row>
    <row r="36" spans="1:3" x14ac:dyDescent="0.25">
      <c r="A36">
        <v>69</v>
      </c>
      <c r="B36" t="s">
        <v>486</v>
      </c>
      <c r="C36" t="s">
        <v>485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7"/>
  <sheetViews>
    <sheetView workbookViewId="0">
      <selection activeCell="I16" sqref="I16"/>
    </sheetView>
  </sheetViews>
  <sheetFormatPr defaultRowHeight="15" x14ac:dyDescent="0.25"/>
  <cols>
    <col min="1" max="1" width="14.85546875" bestFit="1" customWidth="1"/>
    <col min="2" max="2" width="17.28515625" bestFit="1" customWidth="1"/>
    <col min="3" max="3" width="22.140625" bestFit="1" customWidth="1"/>
    <col min="4" max="4" width="15.7109375" bestFit="1" customWidth="1"/>
    <col min="5" max="5" width="10.85546875" bestFit="1" customWidth="1"/>
    <col min="6" max="6" width="9.85546875" bestFit="1" customWidth="1"/>
    <col min="7" max="7" width="46.7109375" bestFit="1" customWidth="1"/>
    <col min="8" max="8" width="12.28515625" bestFit="1" customWidth="1"/>
    <col min="9" max="9" width="12.5703125" bestFit="1" customWidth="1"/>
    <col min="10" max="10" width="7.7109375" bestFit="1" customWidth="1"/>
    <col min="11" max="11" width="6.5703125" bestFit="1" customWidth="1"/>
    <col min="12" max="12" width="6.85546875" bestFit="1" customWidth="1"/>
    <col min="13" max="13" width="13.28515625" bestFit="1" customWidth="1"/>
    <col min="14" max="14" width="8.85546875" bestFit="1" customWidth="1"/>
    <col min="15" max="15" width="20.28515625" bestFit="1" customWidth="1"/>
    <col min="16" max="16" width="16" bestFit="1" customWidth="1"/>
    <col min="17" max="17" width="14.42578125" bestFit="1" customWidth="1"/>
    <col min="18" max="18" width="17.85546875" bestFit="1" customWidth="1"/>
    <col min="19" max="19" width="9.42578125" bestFit="1" customWidth="1"/>
    <col min="20" max="20" width="9.85546875" bestFit="1" customWidth="1"/>
    <col min="21" max="21" width="8.7109375" bestFit="1" customWidth="1"/>
    <col min="22" max="22" width="18.42578125" bestFit="1" customWidth="1"/>
    <col min="23" max="23" width="8" bestFit="1" customWidth="1"/>
    <col min="24" max="24" width="5.140625" bestFit="1" customWidth="1"/>
  </cols>
  <sheetData>
    <row r="1" spans="1:24" x14ac:dyDescent="0.25">
      <c r="A1" t="s">
        <v>444</v>
      </c>
      <c r="B1" t="s">
        <v>445</v>
      </c>
      <c r="C1" t="s">
        <v>446</v>
      </c>
      <c r="D1" t="s">
        <v>447</v>
      </c>
      <c r="E1" t="s">
        <v>45</v>
      </c>
      <c r="F1" t="s">
        <v>8</v>
      </c>
      <c r="G1" t="s">
        <v>14</v>
      </c>
      <c r="H1" t="s">
        <v>9</v>
      </c>
      <c r="I1" t="s">
        <v>448</v>
      </c>
      <c r="J1" t="s">
        <v>449</v>
      </c>
      <c r="K1" t="s">
        <v>450</v>
      </c>
      <c r="L1" t="s">
        <v>451</v>
      </c>
      <c r="M1" t="s">
        <v>452</v>
      </c>
      <c r="N1" t="s">
        <v>453</v>
      </c>
      <c r="O1" t="s">
        <v>10</v>
      </c>
      <c r="P1" t="s">
        <v>454</v>
      </c>
      <c r="Q1" t="s">
        <v>455</v>
      </c>
      <c r="R1" t="s">
        <v>456</v>
      </c>
      <c r="S1" t="s">
        <v>11</v>
      </c>
      <c r="T1" t="s">
        <v>12</v>
      </c>
      <c r="U1" t="s">
        <v>13</v>
      </c>
      <c r="V1" t="s">
        <v>457</v>
      </c>
      <c r="W1" t="s">
        <v>464</v>
      </c>
      <c r="X1" t="s">
        <v>39</v>
      </c>
    </row>
    <row r="2" spans="1:24" x14ac:dyDescent="0.25">
      <c r="A2" t="s">
        <v>510</v>
      </c>
      <c r="B2" t="s">
        <v>504</v>
      </c>
      <c r="C2" t="s">
        <v>511</v>
      </c>
      <c r="D2" t="s">
        <v>512</v>
      </c>
      <c r="E2" t="s">
        <v>136</v>
      </c>
      <c r="F2" t="s">
        <v>111</v>
      </c>
      <c r="G2" t="s">
        <v>513</v>
      </c>
      <c r="H2" t="s">
        <v>482</v>
      </c>
      <c r="I2">
        <v>332</v>
      </c>
      <c r="J2" t="s">
        <v>502</v>
      </c>
      <c r="K2" t="s">
        <v>458</v>
      </c>
      <c r="L2" t="s">
        <v>514</v>
      </c>
      <c r="M2">
        <v>3.2</v>
      </c>
      <c r="N2">
        <v>1062.4000000000001</v>
      </c>
      <c r="O2" t="s">
        <v>498</v>
      </c>
      <c r="P2" t="s">
        <v>505</v>
      </c>
      <c r="Q2" t="s">
        <v>34</v>
      </c>
      <c r="R2" t="s">
        <v>29</v>
      </c>
      <c r="S2">
        <v>120</v>
      </c>
      <c r="T2">
        <v>48</v>
      </c>
      <c r="U2" t="s">
        <v>503</v>
      </c>
      <c r="V2" t="s">
        <v>131</v>
      </c>
      <c r="W2" t="s">
        <v>458</v>
      </c>
      <c r="X2">
        <v>3</v>
      </c>
    </row>
    <row r="3" spans="1:24" x14ac:dyDescent="0.25">
      <c r="A3" t="s">
        <v>515</v>
      </c>
      <c r="B3" t="s">
        <v>504</v>
      </c>
      <c r="C3" t="s">
        <v>507</v>
      </c>
      <c r="D3" t="s">
        <v>516</v>
      </c>
      <c r="E3" t="s">
        <v>136</v>
      </c>
      <c r="F3" t="s">
        <v>111</v>
      </c>
      <c r="G3" t="s">
        <v>517</v>
      </c>
      <c r="H3" t="s">
        <v>44</v>
      </c>
      <c r="I3">
        <v>4</v>
      </c>
      <c r="J3" t="s">
        <v>502</v>
      </c>
      <c r="K3" t="s">
        <v>458</v>
      </c>
      <c r="L3" t="s">
        <v>514</v>
      </c>
      <c r="M3">
        <v>52</v>
      </c>
      <c r="N3">
        <v>208</v>
      </c>
      <c r="O3" t="s">
        <v>49</v>
      </c>
      <c r="P3" t="s">
        <v>505</v>
      </c>
      <c r="Q3" t="s">
        <v>34</v>
      </c>
      <c r="R3" t="s">
        <v>29</v>
      </c>
      <c r="S3">
        <v>120</v>
      </c>
      <c r="T3">
        <v>48</v>
      </c>
      <c r="U3" t="s">
        <v>503</v>
      </c>
      <c r="V3" t="s">
        <v>131</v>
      </c>
      <c r="W3" t="s">
        <v>458</v>
      </c>
      <c r="X3">
        <v>4</v>
      </c>
    </row>
    <row r="4" spans="1:24" x14ac:dyDescent="0.25">
      <c r="A4" t="s">
        <v>515</v>
      </c>
      <c r="B4" t="s">
        <v>504</v>
      </c>
      <c r="C4" t="s">
        <v>507</v>
      </c>
      <c r="D4" t="s">
        <v>516</v>
      </c>
      <c r="E4" t="s">
        <v>136</v>
      </c>
      <c r="F4" t="s">
        <v>114</v>
      </c>
      <c r="G4" t="s">
        <v>518</v>
      </c>
      <c r="H4" t="s">
        <v>482</v>
      </c>
      <c r="I4">
        <v>100</v>
      </c>
      <c r="J4" t="s">
        <v>502</v>
      </c>
      <c r="K4" t="s">
        <v>458</v>
      </c>
      <c r="L4" t="s">
        <v>514</v>
      </c>
      <c r="M4">
        <v>56.12</v>
      </c>
      <c r="N4">
        <v>5612</v>
      </c>
      <c r="O4" t="s">
        <v>492</v>
      </c>
      <c r="P4" t="s">
        <v>505</v>
      </c>
      <c r="Q4" t="s">
        <v>34</v>
      </c>
      <c r="R4" t="s">
        <v>29</v>
      </c>
      <c r="S4">
        <v>120</v>
      </c>
      <c r="T4">
        <v>48</v>
      </c>
      <c r="U4" t="s">
        <v>503</v>
      </c>
      <c r="V4" t="s">
        <v>131</v>
      </c>
      <c r="W4" t="s">
        <v>458</v>
      </c>
      <c r="X4">
        <v>5</v>
      </c>
    </row>
    <row r="5" spans="1:24" x14ac:dyDescent="0.25">
      <c r="A5" t="s">
        <v>515</v>
      </c>
      <c r="B5" t="s">
        <v>504</v>
      </c>
      <c r="C5" t="s">
        <v>507</v>
      </c>
      <c r="D5" t="s">
        <v>516</v>
      </c>
      <c r="E5" t="s">
        <v>136</v>
      </c>
      <c r="F5" t="s">
        <v>458</v>
      </c>
      <c r="G5" t="s">
        <v>508</v>
      </c>
      <c r="H5" t="s">
        <v>458</v>
      </c>
      <c r="I5">
        <v>5000</v>
      </c>
      <c r="J5" t="s">
        <v>502</v>
      </c>
      <c r="K5" t="s">
        <v>458</v>
      </c>
      <c r="L5" t="s">
        <v>514</v>
      </c>
      <c r="M5">
        <v>0.38</v>
      </c>
      <c r="N5">
        <v>1900</v>
      </c>
      <c r="O5" t="s">
        <v>458</v>
      </c>
      <c r="P5" t="s">
        <v>505</v>
      </c>
      <c r="Q5" t="s">
        <v>34</v>
      </c>
      <c r="R5" t="s">
        <v>18</v>
      </c>
      <c r="U5" t="s">
        <v>458</v>
      </c>
      <c r="V5" t="s">
        <v>131</v>
      </c>
      <c r="W5" t="s">
        <v>458</v>
      </c>
      <c r="X5">
        <v>6</v>
      </c>
    </row>
    <row r="6" spans="1:24" x14ac:dyDescent="0.25">
      <c r="A6" t="s">
        <v>515</v>
      </c>
      <c r="B6" t="s">
        <v>504</v>
      </c>
      <c r="C6" t="s">
        <v>507</v>
      </c>
      <c r="D6" t="s">
        <v>516</v>
      </c>
      <c r="E6" t="s">
        <v>136</v>
      </c>
      <c r="F6" t="s">
        <v>458</v>
      </c>
      <c r="G6" t="s">
        <v>509</v>
      </c>
      <c r="H6" t="s">
        <v>458</v>
      </c>
      <c r="I6">
        <v>100</v>
      </c>
      <c r="J6" t="s">
        <v>502</v>
      </c>
      <c r="K6" t="s">
        <v>458</v>
      </c>
      <c r="L6" t="s">
        <v>514</v>
      </c>
      <c r="M6">
        <v>1.5</v>
      </c>
      <c r="N6">
        <v>150</v>
      </c>
      <c r="O6" t="s">
        <v>458</v>
      </c>
      <c r="P6" t="s">
        <v>505</v>
      </c>
      <c r="Q6" t="s">
        <v>34</v>
      </c>
      <c r="R6" t="s">
        <v>25</v>
      </c>
      <c r="U6" t="s">
        <v>458</v>
      </c>
      <c r="V6" t="s">
        <v>131</v>
      </c>
      <c r="W6" t="s">
        <v>458</v>
      </c>
      <c r="X6">
        <v>7</v>
      </c>
    </row>
    <row r="7" spans="1:24" x14ac:dyDescent="0.25">
      <c r="A7" t="s">
        <v>519</v>
      </c>
      <c r="B7" t="s">
        <v>520</v>
      </c>
      <c r="C7" t="s">
        <v>521</v>
      </c>
      <c r="D7" t="s">
        <v>522</v>
      </c>
      <c r="E7" t="s">
        <v>136</v>
      </c>
      <c r="F7" t="s">
        <v>113</v>
      </c>
      <c r="G7" t="s">
        <v>523</v>
      </c>
      <c r="H7" t="s">
        <v>482</v>
      </c>
      <c r="I7">
        <v>25</v>
      </c>
      <c r="J7" t="s">
        <v>502</v>
      </c>
      <c r="K7" t="s">
        <v>458</v>
      </c>
      <c r="L7" t="s">
        <v>514</v>
      </c>
      <c r="M7">
        <v>48</v>
      </c>
      <c r="N7">
        <v>1200</v>
      </c>
      <c r="O7" t="s">
        <v>48</v>
      </c>
      <c r="P7" t="s">
        <v>524</v>
      </c>
      <c r="Q7" t="s">
        <v>34</v>
      </c>
      <c r="R7" t="s">
        <v>29</v>
      </c>
      <c r="S7">
        <v>120</v>
      </c>
      <c r="T7">
        <v>48</v>
      </c>
      <c r="U7" t="s">
        <v>503</v>
      </c>
      <c r="V7" t="s">
        <v>131</v>
      </c>
      <c r="W7" t="s">
        <v>458</v>
      </c>
      <c r="X7">
        <v>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11"/>
  <sheetViews>
    <sheetView topLeftCell="A46" workbookViewId="0">
      <selection activeCell="A21" sqref="A21:K65"/>
    </sheetView>
  </sheetViews>
  <sheetFormatPr defaultRowHeight="15" x14ac:dyDescent="0.25"/>
  <cols>
    <col min="11" max="11" width="9.5703125" customWidth="1"/>
  </cols>
  <sheetData>
    <row r="1" spans="1:3" x14ac:dyDescent="0.25">
      <c r="A1" s="6" t="s">
        <v>34</v>
      </c>
      <c r="B1" s="4" t="s">
        <v>25</v>
      </c>
      <c r="C1" s="1" t="s">
        <v>130</v>
      </c>
    </row>
    <row r="2" spans="1:3" x14ac:dyDescent="0.25">
      <c r="A2" s="2" t="s">
        <v>35</v>
      </c>
      <c r="B2" s="4" t="s">
        <v>22</v>
      </c>
      <c r="C2" s="1" t="s">
        <v>131</v>
      </c>
    </row>
    <row r="3" spans="1:3" x14ac:dyDescent="0.25">
      <c r="A3" s="1" t="s">
        <v>36</v>
      </c>
      <c r="B3" s="4" t="s">
        <v>30</v>
      </c>
      <c r="C3" s="1" t="s">
        <v>132</v>
      </c>
    </row>
    <row r="4" spans="1:3" x14ac:dyDescent="0.25">
      <c r="A4" s="1" t="s">
        <v>134</v>
      </c>
      <c r="B4" s="4" t="s">
        <v>18</v>
      </c>
      <c r="C4" s="1"/>
    </row>
    <row r="5" spans="1:3" x14ac:dyDescent="0.25">
      <c r="A5" s="1"/>
      <c r="B5" s="4" t="s">
        <v>32</v>
      </c>
      <c r="C5" s="1"/>
    </row>
    <row r="6" spans="1:3" x14ac:dyDescent="0.25">
      <c r="A6" s="1"/>
      <c r="B6" s="4" t="s">
        <v>29</v>
      </c>
      <c r="C6" s="1"/>
    </row>
    <row r="7" spans="1:3" x14ac:dyDescent="0.25">
      <c r="A7" s="1"/>
      <c r="B7" s="4" t="s">
        <v>21</v>
      </c>
      <c r="C7" s="1"/>
    </row>
    <row r="8" spans="1:3" x14ac:dyDescent="0.25">
      <c r="A8" s="1"/>
      <c r="B8" s="4" t="s">
        <v>24</v>
      </c>
      <c r="C8" s="1"/>
    </row>
    <row r="9" spans="1:3" x14ac:dyDescent="0.25">
      <c r="A9" s="1"/>
      <c r="B9" s="4" t="s">
        <v>20</v>
      </c>
      <c r="C9" s="1"/>
    </row>
    <row r="10" spans="1:3" x14ac:dyDescent="0.25">
      <c r="A10" s="1"/>
      <c r="B10" s="4" t="s">
        <v>19</v>
      </c>
      <c r="C10" s="1"/>
    </row>
    <row r="11" spans="1:3" x14ac:dyDescent="0.25">
      <c r="A11" s="1"/>
      <c r="B11" s="4" t="s">
        <v>31</v>
      </c>
      <c r="C11" s="1"/>
    </row>
    <row r="12" spans="1:3" x14ac:dyDescent="0.25">
      <c r="A12" s="1"/>
      <c r="B12" s="4" t="s">
        <v>23</v>
      </c>
      <c r="C12" s="1"/>
    </row>
    <row r="13" spans="1:3" x14ac:dyDescent="0.25">
      <c r="A13" s="1"/>
      <c r="B13" s="4"/>
      <c r="C13" s="1"/>
    </row>
    <row r="14" spans="1:3" x14ac:dyDescent="0.25">
      <c r="A14" s="1"/>
      <c r="B14" s="4"/>
      <c r="C14" s="1"/>
    </row>
    <row r="15" spans="1:3" x14ac:dyDescent="0.25">
      <c r="A15" s="1"/>
      <c r="B15" s="4"/>
      <c r="C15" s="1"/>
    </row>
    <row r="16" spans="1:3" x14ac:dyDescent="0.25">
      <c r="A16" s="1"/>
      <c r="B16" s="4"/>
      <c r="C16" s="1"/>
    </row>
    <row r="17" spans="1:11" x14ac:dyDescent="0.25">
      <c r="A17" s="1"/>
      <c r="B17" s="4" t="e">
        <f>IF(STOCK1="Yes","yay"," ")</f>
        <v>#REF!</v>
      </c>
      <c r="C17" s="1"/>
    </row>
    <row r="18" spans="1:11" x14ac:dyDescent="0.25">
      <c r="A18" s="1"/>
      <c r="B18" s="4"/>
      <c r="C18" s="1"/>
    </row>
    <row r="19" spans="1:11" x14ac:dyDescent="0.25">
      <c r="A19" s="1"/>
      <c r="B19" s="5"/>
      <c r="C19" s="1"/>
    </row>
    <row r="21" spans="1:11" x14ac:dyDescent="0.25">
      <c r="A21" s="36" t="s">
        <v>7</v>
      </c>
      <c r="B21" s="36"/>
      <c r="C21" s="36"/>
      <c r="D21" s="36"/>
      <c r="E21" s="36"/>
      <c r="F21" s="36"/>
      <c r="G21" s="36"/>
      <c r="H21" s="36"/>
      <c r="I21" s="36"/>
      <c r="J21" s="36"/>
      <c r="K21" s="36"/>
    </row>
    <row r="22" spans="1:11" x14ac:dyDescent="0.25">
      <c r="A22" s="36"/>
      <c r="B22" s="36"/>
      <c r="C22" s="36"/>
      <c r="D22" s="36"/>
      <c r="E22" s="36"/>
      <c r="F22" s="36"/>
      <c r="G22" s="36"/>
      <c r="H22" s="36"/>
      <c r="I22" s="36"/>
      <c r="J22" s="36"/>
      <c r="K22" s="36"/>
    </row>
    <row r="23" spans="1:11" x14ac:dyDescent="0.25">
      <c r="A23" s="36"/>
      <c r="B23" s="36"/>
      <c r="C23" s="36"/>
      <c r="D23" s="36"/>
      <c r="E23" s="36"/>
      <c r="F23" s="36"/>
      <c r="G23" s="36"/>
      <c r="H23" s="36"/>
      <c r="I23" s="36"/>
      <c r="J23" s="36"/>
      <c r="K23" s="36"/>
    </row>
    <row r="24" spans="1:11" x14ac:dyDescent="0.25">
      <c r="A24" s="36"/>
      <c r="B24" s="36"/>
      <c r="C24" s="36"/>
      <c r="D24" s="36"/>
      <c r="E24" s="36"/>
      <c r="F24" s="36"/>
      <c r="G24" s="36"/>
      <c r="H24" s="36"/>
      <c r="I24" s="36"/>
      <c r="J24" s="36"/>
      <c r="K24" s="36"/>
    </row>
    <row r="25" spans="1:11" x14ac:dyDescent="0.25">
      <c r="A25" s="36"/>
      <c r="B25" s="36"/>
      <c r="C25" s="36"/>
      <c r="D25" s="36"/>
      <c r="E25" s="36"/>
      <c r="F25" s="36"/>
      <c r="G25" s="36"/>
      <c r="H25" s="36"/>
      <c r="I25" s="36"/>
      <c r="J25" s="36"/>
      <c r="K25" s="36"/>
    </row>
    <row r="26" spans="1:11" x14ac:dyDescent="0.25">
      <c r="A26" s="36"/>
      <c r="B26" s="36"/>
      <c r="C26" s="36"/>
      <c r="D26" s="36"/>
      <c r="E26" s="36"/>
      <c r="F26" s="36"/>
      <c r="G26" s="36"/>
      <c r="H26" s="36"/>
      <c r="I26" s="36"/>
      <c r="J26" s="36"/>
      <c r="K26" s="36"/>
    </row>
    <row r="27" spans="1:11" x14ac:dyDescent="0.25">
      <c r="A27" s="36"/>
      <c r="B27" s="36"/>
      <c r="C27" s="36"/>
      <c r="D27" s="36"/>
      <c r="E27" s="36"/>
      <c r="F27" s="36"/>
      <c r="G27" s="36"/>
      <c r="H27" s="36"/>
      <c r="I27" s="36"/>
      <c r="J27" s="36"/>
      <c r="K27" s="36"/>
    </row>
    <row r="28" spans="1:11" x14ac:dyDescent="0.25">
      <c r="A28" s="36"/>
      <c r="B28" s="36"/>
      <c r="C28" s="36"/>
      <c r="D28" s="36"/>
      <c r="E28" s="36"/>
      <c r="F28" s="36"/>
      <c r="G28" s="36"/>
      <c r="H28" s="36"/>
      <c r="I28" s="36"/>
      <c r="J28" s="36"/>
      <c r="K28" s="36"/>
    </row>
    <row r="29" spans="1:11" x14ac:dyDescent="0.25">
      <c r="A29" s="36"/>
      <c r="B29" s="36"/>
      <c r="C29" s="36"/>
      <c r="D29" s="36"/>
      <c r="E29" s="36"/>
      <c r="F29" s="36"/>
      <c r="G29" s="36"/>
      <c r="H29" s="36"/>
      <c r="I29" s="36"/>
      <c r="J29" s="36"/>
      <c r="K29" s="36"/>
    </row>
    <row r="30" spans="1:11" x14ac:dyDescent="0.25">
      <c r="A30" s="36"/>
      <c r="B30" s="36"/>
      <c r="C30" s="36"/>
      <c r="D30" s="36"/>
      <c r="E30" s="36"/>
      <c r="F30" s="36"/>
      <c r="G30" s="36"/>
      <c r="H30" s="36"/>
      <c r="I30" s="36"/>
      <c r="J30" s="36"/>
      <c r="K30" s="36"/>
    </row>
    <row r="31" spans="1:11" x14ac:dyDescent="0.25">
      <c r="A31" s="36"/>
      <c r="B31" s="36"/>
      <c r="C31" s="36"/>
      <c r="D31" s="36"/>
      <c r="E31" s="36"/>
      <c r="F31" s="36"/>
      <c r="G31" s="36"/>
      <c r="H31" s="36"/>
      <c r="I31" s="36"/>
      <c r="J31" s="36"/>
      <c r="K31" s="36"/>
    </row>
    <row r="32" spans="1:11" x14ac:dyDescent="0.25">
      <c r="A32" s="36"/>
      <c r="B32" s="36"/>
      <c r="C32" s="36"/>
      <c r="D32" s="36"/>
      <c r="E32" s="36"/>
      <c r="F32" s="36"/>
      <c r="G32" s="36"/>
      <c r="H32" s="36"/>
      <c r="I32" s="36"/>
      <c r="J32" s="36"/>
      <c r="K32" s="36"/>
    </row>
    <row r="33" spans="1:11" x14ac:dyDescent="0.25">
      <c r="A33" s="36"/>
      <c r="B33" s="36"/>
      <c r="C33" s="36"/>
      <c r="D33" s="36"/>
      <c r="E33" s="36"/>
      <c r="F33" s="36"/>
      <c r="G33" s="36"/>
      <c r="H33" s="36"/>
      <c r="I33" s="36"/>
      <c r="J33" s="36"/>
      <c r="K33" s="36"/>
    </row>
    <row r="34" spans="1:11" x14ac:dyDescent="0.25">
      <c r="A34" s="36"/>
      <c r="B34" s="36"/>
      <c r="C34" s="36"/>
      <c r="D34" s="36"/>
      <c r="E34" s="36"/>
      <c r="F34" s="36"/>
      <c r="G34" s="36"/>
      <c r="H34" s="36"/>
      <c r="I34" s="36"/>
      <c r="J34" s="36"/>
      <c r="K34" s="36"/>
    </row>
    <row r="35" spans="1:11" x14ac:dyDescent="0.25">
      <c r="A35" s="36"/>
      <c r="B35" s="36"/>
      <c r="C35" s="36"/>
      <c r="D35" s="36"/>
      <c r="E35" s="36"/>
      <c r="F35" s="36"/>
      <c r="G35" s="36"/>
      <c r="H35" s="36"/>
      <c r="I35" s="36"/>
      <c r="J35" s="36"/>
      <c r="K35" s="36"/>
    </row>
    <row r="36" spans="1:11" x14ac:dyDescent="0.25">
      <c r="A36" s="36"/>
      <c r="B36" s="36"/>
      <c r="C36" s="36"/>
      <c r="D36" s="36"/>
      <c r="E36" s="36"/>
      <c r="F36" s="36"/>
      <c r="G36" s="36"/>
      <c r="H36" s="36"/>
      <c r="I36" s="36"/>
      <c r="J36" s="36"/>
      <c r="K36" s="36"/>
    </row>
    <row r="37" spans="1:11" x14ac:dyDescent="0.25">
      <c r="A37" s="36"/>
      <c r="B37" s="36"/>
      <c r="C37" s="36"/>
      <c r="D37" s="36"/>
      <c r="E37" s="36"/>
      <c r="F37" s="36"/>
      <c r="G37" s="36"/>
      <c r="H37" s="36"/>
      <c r="I37" s="36"/>
      <c r="J37" s="36"/>
      <c r="K37" s="36"/>
    </row>
    <row r="38" spans="1:11" x14ac:dyDescent="0.25">
      <c r="A38" s="36"/>
      <c r="B38" s="36"/>
      <c r="C38" s="36"/>
      <c r="D38" s="36"/>
      <c r="E38" s="36"/>
      <c r="F38" s="36"/>
      <c r="G38" s="36"/>
      <c r="H38" s="36"/>
      <c r="I38" s="36"/>
      <c r="J38" s="36"/>
      <c r="K38" s="36"/>
    </row>
    <row r="39" spans="1:11" x14ac:dyDescent="0.25">
      <c r="A39" s="36"/>
      <c r="B39" s="36"/>
      <c r="C39" s="36"/>
      <c r="D39" s="36"/>
      <c r="E39" s="36"/>
      <c r="F39" s="36"/>
      <c r="G39" s="36"/>
      <c r="H39" s="36"/>
      <c r="I39" s="36"/>
      <c r="J39" s="36"/>
      <c r="K39" s="36"/>
    </row>
    <row r="40" spans="1:11" x14ac:dyDescent="0.25">
      <c r="A40" s="36"/>
      <c r="B40" s="36"/>
      <c r="C40" s="36"/>
      <c r="D40" s="36"/>
      <c r="E40" s="36"/>
      <c r="F40" s="36"/>
      <c r="G40" s="36"/>
      <c r="H40" s="36"/>
      <c r="I40" s="36"/>
      <c r="J40" s="36"/>
      <c r="K40" s="36"/>
    </row>
    <row r="41" spans="1:11" x14ac:dyDescent="0.25">
      <c r="A41" s="36"/>
      <c r="B41" s="36"/>
      <c r="C41" s="36"/>
      <c r="D41" s="36"/>
      <c r="E41" s="36"/>
      <c r="F41" s="36"/>
      <c r="G41" s="36"/>
      <c r="H41" s="36"/>
      <c r="I41" s="36"/>
      <c r="J41" s="36"/>
      <c r="K41" s="36"/>
    </row>
    <row r="42" spans="1:11" x14ac:dyDescent="0.25">
      <c r="A42" s="36"/>
      <c r="B42" s="36"/>
      <c r="C42" s="36"/>
      <c r="D42" s="36"/>
      <c r="E42" s="36"/>
      <c r="F42" s="36"/>
      <c r="G42" s="36"/>
      <c r="H42" s="36"/>
      <c r="I42" s="36"/>
      <c r="J42" s="36"/>
      <c r="K42" s="36"/>
    </row>
    <row r="43" spans="1:11" x14ac:dyDescent="0.25">
      <c r="A43" s="36"/>
      <c r="B43" s="36"/>
      <c r="C43" s="36"/>
      <c r="D43" s="36"/>
      <c r="E43" s="36"/>
      <c r="F43" s="36"/>
      <c r="G43" s="36"/>
      <c r="H43" s="36"/>
      <c r="I43" s="36"/>
      <c r="J43" s="36"/>
      <c r="K43" s="36"/>
    </row>
    <row r="44" spans="1:11" x14ac:dyDescent="0.25">
      <c r="A44" s="36"/>
      <c r="B44" s="36"/>
      <c r="C44" s="36"/>
      <c r="D44" s="36"/>
      <c r="E44" s="36"/>
      <c r="F44" s="36"/>
      <c r="G44" s="36"/>
      <c r="H44" s="36"/>
      <c r="I44" s="36"/>
      <c r="J44" s="36"/>
      <c r="K44" s="36"/>
    </row>
    <row r="45" spans="1:11" x14ac:dyDescent="0.25">
      <c r="A45" s="36"/>
      <c r="B45" s="36"/>
      <c r="C45" s="36"/>
      <c r="D45" s="36"/>
      <c r="E45" s="36"/>
      <c r="F45" s="36"/>
      <c r="G45" s="36"/>
      <c r="H45" s="36"/>
      <c r="I45" s="36"/>
      <c r="J45" s="36"/>
      <c r="K45" s="36"/>
    </row>
    <row r="46" spans="1:11" x14ac:dyDescent="0.25">
      <c r="A46" s="36"/>
      <c r="B46" s="36"/>
      <c r="C46" s="36"/>
      <c r="D46" s="36"/>
      <c r="E46" s="36"/>
      <c r="F46" s="36"/>
      <c r="G46" s="36"/>
      <c r="H46" s="36"/>
      <c r="I46" s="36"/>
      <c r="J46" s="36"/>
      <c r="K46" s="36"/>
    </row>
    <row r="47" spans="1:11" x14ac:dyDescent="0.25">
      <c r="A47" s="36"/>
      <c r="B47" s="36"/>
      <c r="C47" s="36"/>
      <c r="D47" s="36"/>
      <c r="E47" s="36"/>
      <c r="F47" s="36"/>
      <c r="G47" s="36"/>
      <c r="H47" s="36"/>
      <c r="I47" s="36"/>
      <c r="J47" s="36"/>
      <c r="K47" s="36"/>
    </row>
    <row r="48" spans="1:11" x14ac:dyDescent="0.25">
      <c r="A48" s="36"/>
      <c r="B48" s="36"/>
      <c r="C48" s="36"/>
      <c r="D48" s="36"/>
      <c r="E48" s="36"/>
      <c r="F48" s="36"/>
      <c r="G48" s="36"/>
      <c r="H48" s="36"/>
      <c r="I48" s="36"/>
      <c r="J48" s="36"/>
      <c r="K48" s="36"/>
    </row>
    <row r="49" spans="1:11" x14ac:dyDescent="0.25">
      <c r="A49" s="36"/>
      <c r="B49" s="36"/>
      <c r="C49" s="36"/>
      <c r="D49" s="36"/>
      <c r="E49" s="36"/>
      <c r="F49" s="36"/>
      <c r="G49" s="36"/>
      <c r="H49" s="36"/>
      <c r="I49" s="36"/>
      <c r="J49" s="36"/>
      <c r="K49" s="36"/>
    </row>
    <row r="50" spans="1:11" x14ac:dyDescent="0.25">
      <c r="A50" s="36"/>
      <c r="B50" s="36"/>
      <c r="C50" s="36"/>
      <c r="D50" s="36"/>
      <c r="E50" s="36"/>
      <c r="F50" s="36"/>
      <c r="G50" s="36"/>
      <c r="H50" s="36"/>
      <c r="I50" s="36"/>
      <c r="J50" s="36"/>
      <c r="K50" s="36"/>
    </row>
    <row r="51" spans="1:11" x14ac:dyDescent="0.25">
      <c r="A51" s="36"/>
      <c r="B51" s="36"/>
      <c r="C51" s="36"/>
      <c r="D51" s="36"/>
      <c r="E51" s="36"/>
      <c r="F51" s="36"/>
      <c r="G51" s="36"/>
      <c r="H51" s="36"/>
      <c r="I51" s="36"/>
      <c r="J51" s="36"/>
      <c r="K51" s="36"/>
    </row>
    <row r="52" spans="1:11" x14ac:dyDescent="0.25">
      <c r="A52" s="36"/>
      <c r="B52" s="36"/>
      <c r="C52" s="36"/>
      <c r="D52" s="36"/>
      <c r="E52" s="36"/>
      <c r="F52" s="36"/>
      <c r="G52" s="36"/>
      <c r="H52" s="36"/>
      <c r="I52" s="36"/>
      <c r="J52" s="36"/>
      <c r="K52" s="36"/>
    </row>
    <row r="53" spans="1:11" x14ac:dyDescent="0.25">
      <c r="A53" s="36"/>
      <c r="B53" s="36"/>
      <c r="C53" s="36"/>
      <c r="D53" s="36"/>
      <c r="E53" s="36"/>
      <c r="F53" s="36"/>
      <c r="G53" s="36"/>
      <c r="H53" s="36"/>
      <c r="I53" s="36"/>
      <c r="J53" s="36"/>
      <c r="K53" s="36"/>
    </row>
    <row r="54" spans="1:11" x14ac:dyDescent="0.25">
      <c r="A54" s="36"/>
      <c r="B54" s="36"/>
      <c r="C54" s="36"/>
      <c r="D54" s="36"/>
      <c r="E54" s="36"/>
      <c r="F54" s="36"/>
      <c r="G54" s="36"/>
      <c r="H54" s="36"/>
      <c r="I54" s="36"/>
      <c r="J54" s="36"/>
      <c r="K54" s="36"/>
    </row>
    <row r="55" spans="1:11" x14ac:dyDescent="0.25">
      <c r="A55" s="36"/>
      <c r="B55" s="36"/>
      <c r="C55" s="36"/>
      <c r="D55" s="36"/>
      <c r="E55" s="36"/>
      <c r="F55" s="36"/>
      <c r="G55" s="36"/>
      <c r="H55" s="36"/>
      <c r="I55" s="36"/>
      <c r="J55" s="36"/>
      <c r="K55" s="36"/>
    </row>
    <row r="56" spans="1:11" x14ac:dyDescent="0.25">
      <c r="A56" s="36"/>
      <c r="B56" s="36"/>
      <c r="C56" s="36"/>
      <c r="D56" s="36"/>
      <c r="E56" s="36"/>
      <c r="F56" s="36"/>
      <c r="G56" s="36"/>
      <c r="H56" s="36"/>
      <c r="I56" s="36"/>
      <c r="J56" s="36"/>
      <c r="K56" s="36"/>
    </row>
    <row r="57" spans="1:11" x14ac:dyDescent="0.25">
      <c r="A57" s="36"/>
      <c r="B57" s="36"/>
      <c r="C57" s="36"/>
      <c r="D57" s="36"/>
      <c r="E57" s="36"/>
      <c r="F57" s="36"/>
      <c r="G57" s="36"/>
      <c r="H57" s="36"/>
      <c r="I57" s="36"/>
      <c r="J57" s="36"/>
      <c r="K57" s="36"/>
    </row>
    <row r="58" spans="1:11" x14ac:dyDescent="0.25">
      <c r="A58" s="36"/>
      <c r="B58" s="36"/>
      <c r="C58" s="36"/>
      <c r="D58" s="36"/>
      <c r="E58" s="36"/>
      <c r="F58" s="36"/>
      <c r="G58" s="36"/>
      <c r="H58" s="36"/>
      <c r="I58" s="36"/>
      <c r="J58" s="36"/>
      <c r="K58" s="36"/>
    </row>
    <row r="59" spans="1:11" x14ac:dyDescent="0.25">
      <c r="A59" s="36"/>
      <c r="B59" s="36"/>
      <c r="C59" s="36"/>
      <c r="D59" s="36"/>
      <c r="E59" s="36"/>
      <c r="F59" s="36"/>
      <c r="G59" s="36"/>
      <c r="H59" s="36"/>
      <c r="I59" s="36"/>
      <c r="J59" s="36"/>
      <c r="K59" s="36"/>
    </row>
    <row r="60" spans="1:11" x14ac:dyDescent="0.25">
      <c r="A60" s="36"/>
      <c r="B60" s="36"/>
      <c r="C60" s="36"/>
      <c r="D60" s="36"/>
      <c r="E60" s="36"/>
      <c r="F60" s="36"/>
      <c r="G60" s="36"/>
      <c r="H60" s="36"/>
      <c r="I60" s="36"/>
      <c r="J60" s="36"/>
      <c r="K60" s="36"/>
    </row>
    <row r="61" spans="1:11" x14ac:dyDescent="0.25">
      <c r="A61" s="36"/>
      <c r="B61" s="36"/>
      <c r="C61" s="36"/>
      <c r="D61" s="36"/>
      <c r="E61" s="36"/>
      <c r="F61" s="36"/>
      <c r="G61" s="36"/>
      <c r="H61" s="36"/>
      <c r="I61" s="36"/>
      <c r="J61" s="36"/>
      <c r="K61" s="36"/>
    </row>
    <row r="62" spans="1:11" x14ac:dyDescent="0.25">
      <c r="A62" s="36"/>
      <c r="B62" s="36"/>
      <c r="C62" s="36"/>
      <c r="D62" s="36"/>
      <c r="E62" s="36"/>
      <c r="F62" s="36"/>
      <c r="G62" s="36"/>
      <c r="H62" s="36"/>
      <c r="I62" s="36"/>
      <c r="J62" s="36"/>
      <c r="K62" s="36"/>
    </row>
    <row r="63" spans="1:11" x14ac:dyDescent="0.25">
      <c r="A63" s="36"/>
      <c r="B63" s="36"/>
      <c r="C63" s="36"/>
      <c r="D63" s="36"/>
      <c r="E63" s="36"/>
      <c r="F63" s="36"/>
      <c r="G63" s="36"/>
      <c r="H63" s="36"/>
      <c r="I63" s="36"/>
      <c r="J63" s="36"/>
      <c r="K63" s="36"/>
    </row>
    <row r="64" spans="1:11" x14ac:dyDescent="0.25">
      <c r="A64" s="36"/>
      <c r="B64" s="36"/>
      <c r="C64" s="36"/>
      <c r="D64" s="36"/>
      <c r="E64" s="36"/>
      <c r="F64" s="36"/>
      <c r="G64" s="36"/>
      <c r="H64" s="36"/>
      <c r="I64" s="36"/>
      <c r="J64" s="36"/>
      <c r="K64" s="36"/>
    </row>
    <row r="65" spans="1:11" x14ac:dyDescent="0.25">
      <c r="A65" s="36"/>
      <c r="B65" s="36"/>
      <c r="C65" s="36"/>
      <c r="D65" s="36"/>
      <c r="E65" s="36"/>
      <c r="F65" s="36"/>
      <c r="G65" s="36"/>
      <c r="H65" s="36"/>
      <c r="I65" s="36"/>
      <c r="J65" s="36"/>
      <c r="K65" s="36"/>
    </row>
    <row r="67" spans="1:11" x14ac:dyDescent="0.25">
      <c r="A67" s="36" t="s">
        <v>109</v>
      </c>
      <c r="B67" s="36"/>
      <c r="C67" s="36"/>
      <c r="D67" s="36"/>
      <c r="E67" s="36"/>
      <c r="F67" s="36"/>
      <c r="G67" s="36"/>
      <c r="H67" s="36"/>
      <c r="I67" s="36"/>
      <c r="J67" s="36"/>
      <c r="K67" s="36"/>
    </row>
    <row r="68" spans="1:11" x14ac:dyDescent="0.25">
      <c r="A68" s="36"/>
      <c r="B68" s="36"/>
      <c r="C68" s="36"/>
      <c r="D68" s="36"/>
      <c r="E68" s="36"/>
      <c r="F68" s="36"/>
      <c r="G68" s="36"/>
      <c r="H68" s="36"/>
      <c r="I68" s="36"/>
      <c r="J68" s="36"/>
      <c r="K68" s="36"/>
    </row>
    <row r="69" spans="1:11" x14ac:dyDescent="0.25">
      <c r="A69" s="36"/>
      <c r="B69" s="36"/>
      <c r="C69" s="36"/>
      <c r="D69" s="36"/>
      <c r="E69" s="36"/>
      <c r="F69" s="36"/>
      <c r="G69" s="36"/>
      <c r="H69" s="36"/>
      <c r="I69" s="36"/>
      <c r="J69" s="36"/>
      <c r="K69" s="36"/>
    </row>
    <row r="70" spans="1:11" x14ac:dyDescent="0.25">
      <c r="A70" s="36"/>
      <c r="B70" s="36"/>
      <c r="C70" s="36"/>
      <c r="D70" s="36"/>
      <c r="E70" s="36"/>
      <c r="F70" s="36"/>
      <c r="G70" s="36"/>
      <c r="H70" s="36"/>
      <c r="I70" s="36"/>
      <c r="J70" s="36"/>
      <c r="K70" s="36"/>
    </row>
    <row r="71" spans="1:11" x14ac:dyDescent="0.25">
      <c r="A71" s="36"/>
      <c r="B71" s="36"/>
      <c r="C71" s="36"/>
      <c r="D71" s="36"/>
      <c r="E71" s="36"/>
      <c r="F71" s="36"/>
      <c r="G71" s="36"/>
      <c r="H71" s="36"/>
      <c r="I71" s="36"/>
      <c r="J71" s="36"/>
      <c r="K71" s="36"/>
    </row>
    <row r="72" spans="1:11" x14ac:dyDescent="0.25">
      <c r="A72" s="36"/>
      <c r="B72" s="36"/>
      <c r="C72" s="36"/>
      <c r="D72" s="36"/>
      <c r="E72" s="36"/>
      <c r="F72" s="36"/>
      <c r="G72" s="36"/>
      <c r="H72" s="36"/>
      <c r="I72" s="36"/>
      <c r="J72" s="36"/>
      <c r="K72" s="36"/>
    </row>
    <row r="73" spans="1:11" x14ac:dyDescent="0.25">
      <c r="A73" s="36"/>
      <c r="B73" s="36"/>
      <c r="C73" s="36"/>
      <c r="D73" s="36"/>
      <c r="E73" s="36"/>
      <c r="F73" s="36"/>
      <c r="G73" s="36"/>
      <c r="H73" s="36"/>
      <c r="I73" s="36"/>
      <c r="J73" s="36"/>
      <c r="K73" s="36"/>
    </row>
    <row r="74" spans="1:11" x14ac:dyDescent="0.25">
      <c r="A74" s="36"/>
      <c r="B74" s="36"/>
      <c r="C74" s="36"/>
      <c r="D74" s="36"/>
      <c r="E74" s="36"/>
      <c r="F74" s="36"/>
      <c r="G74" s="36"/>
      <c r="H74" s="36"/>
      <c r="I74" s="36"/>
      <c r="J74" s="36"/>
      <c r="K74" s="36"/>
    </row>
    <row r="75" spans="1:11" x14ac:dyDescent="0.25">
      <c r="A75" s="36"/>
      <c r="B75" s="36"/>
      <c r="C75" s="36"/>
      <c r="D75" s="36"/>
      <c r="E75" s="36"/>
      <c r="F75" s="36"/>
      <c r="G75" s="36"/>
      <c r="H75" s="36"/>
      <c r="I75" s="36"/>
      <c r="J75" s="36"/>
      <c r="K75" s="36"/>
    </row>
    <row r="76" spans="1:11" x14ac:dyDescent="0.25">
      <c r="A76" s="36"/>
      <c r="B76" s="36"/>
      <c r="C76" s="36"/>
      <c r="D76" s="36"/>
      <c r="E76" s="36"/>
      <c r="F76" s="36"/>
      <c r="G76" s="36"/>
      <c r="H76" s="36"/>
      <c r="I76" s="36"/>
      <c r="J76" s="36"/>
      <c r="K76" s="36"/>
    </row>
    <row r="77" spans="1:11" x14ac:dyDescent="0.25">
      <c r="A77" s="36"/>
      <c r="B77" s="36"/>
      <c r="C77" s="36"/>
      <c r="D77" s="36"/>
      <c r="E77" s="36"/>
      <c r="F77" s="36"/>
      <c r="G77" s="36"/>
      <c r="H77" s="36"/>
      <c r="I77" s="36"/>
      <c r="J77" s="36"/>
      <c r="K77" s="36"/>
    </row>
    <row r="78" spans="1:11" x14ac:dyDescent="0.25">
      <c r="A78" s="36"/>
      <c r="B78" s="36"/>
      <c r="C78" s="36"/>
      <c r="D78" s="36"/>
      <c r="E78" s="36"/>
      <c r="F78" s="36"/>
      <c r="G78" s="36"/>
      <c r="H78" s="36"/>
      <c r="I78" s="36"/>
      <c r="J78" s="36"/>
      <c r="K78" s="36"/>
    </row>
    <row r="79" spans="1:11" x14ac:dyDescent="0.25">
      <c r="A79" s="36"/>
      <c r="B79" s="36"/>
      <c r="C79" s="36"/>
      <c r="D79" s="36"/>
      <c r="E79" s="36"/>
      <c r="F79" s="36"/>
      <c r="G79" s="36"/>
      <c r="H79" s="36"/>
      <c r="I79" s="36"/>
      <c r="J79" s="36"/>
      <c r="K79" s="36"/>
    </row>
    <row r="80" spans="1:11" x14ac:dyDescent="0.25">
      <c r="A80" s="36"/>
      <c r="B80" s="36"/>
      <c r="C80" s="36"/>
      <c r="D80" s="36"/>
      <c r="E80" s="36"/>
      <c r="F80" s="36"/>
      <c r="G80" s="36"/>
      <c r="H80" s="36"/>
      <c r="I80" s="36"/>
      <c r="J80" s="36"/>
      <c r="K80" s="36"/>
    </row>
    <row r="81" spans="1:11" x14ac:dyDescent="0.25">
      <c r="A81" s="36"/>
      <c r="B81" s="36"/>
      <c r="C81" s="36"/>
      <c r="D81" s="36"/>
      <c r="E81" s="36"/>
      <c r="F81" s="36"/>
      <c r="G81" s="36"/>
      <c r="H81" s="36"/>
      <c r="I81" s="36"/>
      <c r="J81" s="36"/>
      <c r="K81" s="36"/>
    </row>
    <row r="82" spans="1:11" x14ac:dyDescent="0.25">
      <c r="A82" s="36"/>
      <c r="B82" s="36"/>
      <c r="C82" s="36"/>
      <c r="D82" s="36"/>
      <c r="E82" s="36"/>
      <c r="F82" s="36"/>
      <c r="G82" s="36"/>
      <c r="H82" s="36"/>
      <c r="I82" s="36"/>
      <c r="J82" s="36"/>
      <c r="K82" s="36"/>
    </row>
    <row r="83" spans="1:11" x14ac:dyDescent="0.25">
      <c r="A83" s="36"/>
      <c r="B83" s="36"/>
      <c r="C83" s="36"/>
      <c r="D83" s="36"/>
      <c r="E83" s="36"/>
      <c r="F83" s="36"/>
      <c r="G83" s="36"/>
      <c r="H83" s="36"/>
      <c r="I83" s="36"/>
      <c r="J83" s="36"/>
      <c r="K83" s="36"/>
    </row>
    <row r="84" spans="1:11" x14ac:dyDescent="0.25">
      <c r="A84" s="36"/>
      <c r="B84" s="36"/>
      <c r="C84" s="36"/>
      <c r="D84" s="36"/>
      <c r="E84" s="36"/>
      <c r="F84" s="36"/>
      <c r="G84" s="36"/>
      <c r="H84" s="36"/>
      <c r="I84" s="36"/>
      <c r="J84" s="36"/>
      <c r="K84" s="36"/>
    </row>
    <row r="85" spans="1:11" x14ac:dyDescent="0.25">
      <c r="A85" s="36"/>
      <c r="B85" s="36"/>
      <c r="C85" s="36"/>
      <c r="D85" s="36"/>
      <c r="E85" s="36"/>
      <c r="F85" s="36"/>
      <c r="G85" s="36"/>
      <c r="H85" s="36"/>
      <c r="I85" s="36"/>
      <c r="J85" s="36"/>
      <c r="K85" s="36"/>
    </row>
    <row r="86" spans="1:11" x14ac:dyDescent="0.25">
      <c r="A86" s="36"/>
      <c r="B86" s="36"/>
      <c r="C86" s="36"/>
      <c r="D86" s="36"/>
      <c r="E86" s="36"/>
      <c r="F86" s="36"/>
      <c r="G86" s="36"/>
      <c r="H86" s="36"/>
      <c r="I86" s="36"/>
      <c r="J86" s="36"/>
      <c r="K86" s="36"/>
    </row>
    <row r="87" spans="1:11" x14ac:dyDescent="0.25">
      <c r="A87" s="36"/>
      <c r="B87" s="36"/>
      <c r="C87" s="36"/>
      <c r="D87" s="36"/>
      <c r="E87" s="36"/>
      <c r="F87" s="36"/>
      <c r="G87" s="36"/>
      <c r="H87" s="36"/>
      <c r="I87" s="36"/>
      <c r="J87" s="36"/>
      <c r="K87" s="36"/>
    </row>
    <row r="88" spans="1:11" x14ac:dyDescent="0.25">
      <c r="A88" s="36"/>
      <c r="B88" s="36"/>
      <c r="C88" s="36"/>
      <c r="D88" s="36"/>
      <c r="E88" s="36"/>
      <c r="F88" s="36"/>
      <c r="G88" s="36"/>
      <c r="H88" s="36"/>
      <c r="I88" s="36"/>
      <c r="J88" s="36"/>
      <c r="K88" s="36"/>
    </row>
    <row r="89" spans="1:11" x14ac:dyDescent="0.25">
      <c r="A89" s="36"/>
      <c r="B89" s="36"/>
      <c r="C89" s="36"/>
      <c r="D89" s="36"/>
      <c r="E89" s="36"/>
      <c r="F89" s="36"/>
      <c r="G89" s="36"/>
      <c r="H89" s="36"/>
      <c r="I89" s="36"/>
      <c r="J89" s="36"/>
      <c r="K89" s="36"/>
    </row>
    <row r="90" spans="1:11" x14ac:dyDescent="0.25">
      <c r="A90" s="36"/>
      <c r="B90" s="36"/>
      <c r="C90" s="36"/>
      <c r="D90" s="36"/>
      <c r="E90" s="36"/>
      <c r="F90" s="36"/>
      <c r="G90" s="36"/>
      <c r="H90" s="36"/>
      <c r="I90" s="36"/>
      <c r="J90" s="36"/>
      <c r="K90" s="36"/>
    </row>
    <row r="91" spans="1:11" x14ac:dyDescent="0.25">
      <c r="A91" s="36"/>
      <c r="B91" s="36"/>
      <c r="C91" s="36"/>
      <c r="D91" s="36"/>
      <c r="E91" s="36"/>
      <c r="F91" s="36"/>
      <c r="G91" s="36"/>
      <c r="H91" s="36"/>
      <c r="I91" s="36"/>
      <c r="J91" s="36"/>
      <c r="K91" s="36"/>
    </row>
    <row r="92" spans="1:11" x14ac:dyDescent="0.25">
      <c r="A92" s="36"/>
      <c r="B92" s="36"/>
      <c r="C92" s="36"/>
      <c r="D92" s="36"/>
      <c r="E92" s="36"/>
      <c r="F92" s="36"/>
      <c r="G92" s="36"/>
      <c r="H92" s="36"/>
      <c r="I92" s="36"/>
      <c r="J92" s="36"/>
      <c r="K92" s="36"/>
    </row>
    <row r="93" spans="1:11" x14ac:dyDescent="0.25">
      <c r="A93" s="36"/>
      <c r="B93" s="36"/>
      <c r="C93" s="36"/>
      <c r="D93" s="36"/>
      <c r="E93" s="36"/>
      <c r="F93" s="36"/>
      <c r="G93" s="36"/>
      <c r="H93" s="36"/>
      <c r="I93" s="36"/>
      <c r="J93" s="36"/>
      <c r="K93" s="36"/>
    </row>
    <row r="94" spans="1:11" x14ac:dyDescent="0.25">
      <c r="A94" s="36"/>
      <c r="B94" s="36"/>
      <c r="C94" s="36"/>
      <c r="D94" s="36"/>
      <c r="E94" s="36"/>
      <c r="F94" s="36"/>
      <c r="G94" s="36"/>
      <c r="H94" s="36"/>
      <c r="I94" s="36"/>
      <c r="J94" s="36"/>
      <c r="K94" s="36"/>
    </row>
    <row r="95" spans="1:11" x14ac:dyDescent="0.25">
      <c r="A95" s="36"/>
      <c r="B95" s="36"/>
      <c r="C95" s="36"/>
      <c r="D95" s="36"/>
      <c r="E95" s="36"/>
      <c r="F95" s="36"/>
      <c r="G95" s="36"/>
      <c r="H95" s="36"/>
      <c r="I95" s="36"/>
      <c r="J95" s="36"/>
      <c r="K95" s="36"/>
    </row>
    <row r="96" spans="1:11" x14ac:dyDescent="0.25">
      <c r="A96" s="36"/>
      <c r="B96" s="36"/>
      <c r="C96" s="36"/>
      <c r="D96" s="36"/>
      <c r="E96" s="36"/>
      <c r="F96" s="36"/>
      <c r="G96" s="36"/>
      <c r="H96" s="36"/>
      <c r="I96" s="36"/>
      <c r="J96" s="36"/>
      <c r="K96" s="36"/>
    </row>
    <row r="97" spans="1:11" x14ac:dyDescent="0.25">
      <c r="A97" s="36"/>
      <c r="B97" s="36"/>
      <c r="C97" s="36"/>
      <c r="D97" s="36"/>
      <c r="E97" s="36"/>
      <c r="F97" s="36"/>
      <c r="G97" s="36"/>
      <c r="H97" s="36"/>
      <c r="I97" s="36"/>
      <c r="J97" s="36"/>
      <c r="K97" s="36"/>
    </row>
    <row r="98" spans="1:11" x14ac:dyDescent="0.25">
      <c r="A98" s="36"/>
      <c r="B98" s="36"/>
      <c r="C98" s="36"/>
      <c r="D98" s="36"/>
      <c r="E98" s="36"/>
      <c r="F98" s="36"/>
      <c r="G98" s="36"/>
      <c r="H98" s="36"/>
      <c r="I98" s="36"/>
      <c r="J98" s="36"/>
      <c r="K98" s="36"/>
    </row>
    <row r="99" spans="1:11" x14ac:dyDescent="0.25">
      <c r="A99" s="36"/>
      <c r="B99" s="36"/>
      <c r="C99" s="36"/>
      <c r="D99" s="36"/>
      <c r="E99" s="36"/>
      <c r="F99" s="36"/>
      <c r="G99" s="36"/>
      <c r="H99" s="36"/>
      <c r="I99" s="36"/>
      <c r="J99" s="36"/>
      <c r="K99" s="36"/>
    </row>
    <row r="100" spans="1:11" x14ac:dyDescent="0.25">
      <c r="A100" s="36"/>
      <c r="B100" s="36"/>
      <c r="C100" s="36"/>
      <c r="D100" s="36"/>
      <c r="E100" s="36"/>
      <c r="F100" s="36"/>
      <c r="G100" s="36"/>
      <c r="H100" s="36"/>
      <c r="I100" s="36"/>
      <c r="J100" s="36"/>
      <c r="K100" s="36"/>
    </row>
    <row r="101" spans="1:11" x14ac:dyDescent="0.25">
      <c r="A101" s="36"/>
      <c r="B101" s="36"/>
      <c r="C101" s="36"/>
      <c r="D101" s="36"/>
      <c r="E101" s="36"/>
      <c r="F101" s="36"/>
      <c r="G101" s="36"/>
      <c r="H101" s="36"/>
      <c r="I101" s="36"/>
      <c r="J101" s="36"/>
      <c r="K101" s="36"/>
    </row>
    <row r="102" spans="1:11" x14ac:dyDescent="0.25">
      <c r="A102" s="36"/>
      <c r="B102" s="36"/>
      <c r="C102" s="36"/>
      <c r="D102" s="36"/>
      <c r="E102" s="36"/>
      <c r="F102" s="36"/>
      <c r="G102" s="36"/>
      <c r="H102" s="36"/>
      <c r="I102" s="36"/>
      <c r="J102" s="36"/>
      <c r="K102" s="36"/>
    </row>
    <row r="103" spans="1:11" x14ac:dyDescent="0.25">
      <c r="A103" s="36"/>
      <c r="B103" s="36"/>
      <c r="C103" s="36"/>
      <c r="D103" s="36"/>
      <c r="E103" s="36"/>
      <c r="F103" s="36"/>
      <c r="G103" s="36"/>
      <c r="H103" s="36"/>
      <c r="I103" s="36"/>
      <c r="J103" s="36"/>
      <c r="K103" s="36"/>
    </row>
    <row r="104" spans="1:11" x14ac:dyDescent="0.25">
      <c r="A104" s="36"/>
      <c r="B104" s="36"/>
      <c r="C104" s="36"/>
      <c r="D104" s="36"/>
      <c r="E104" s="36"/>
      <c r="F104" s="36"/>
      <c r="G104" s="36"/>
      <c r="H104" s="36"/>
      <c r="I104" s="36"/>
      <c r="J104" s="36"/>
      <c r="K104" s="36"/>
    </row>
    <row r="105" spans="1:11" x14ac:dyDescent="0.25">
      <c r="A105" s="36"/>
      <c r="B105" s="36"/>
      <c r="C105" s="36"/>
      <c r="D105" s="36"/>
      <c r="E105" s="36"/>
      <c r="F105" s="36"/>
      <c r="G105" s="36"/>
      <c r="H105" s="36"/>
      <c r="I105" s="36"/>
      <c r="J105" s="36"/>
      <c r="K105" s="36"/>
    </row>
    <row r="106" spans="1:11" x14ac:dyDescent="0.25">
      <c r="A106" s="36"/>
      <c r="B106" s="36"/>
      <c r="C106" s="36"/>
      <c r="D106" s="36"/>
      <c r="E106" s="36"/>
      <c r="F106" s="36"/>
      <c r="G106" s="36"/>
      <c r="H106" s="36"/>
      <c r="I106" s="36"/>
      <c r="J106" s="36"/>
      <c r="K106" s="36"/>
    </row>
    <row r="107" spans="1:11" x14ac:dyDescent="0.25">
      <c r="A107" s="36"/>
      <c r="B107" s="36"/>
      <c r="C107" s="36"/>
      <c r="D107" s="36"/>
      <c r="E107" s="36"/>
      <c r="F107" s="36"/>
      <c r="G107" s="36"/>
      <c r="H107" s="36"/>
      <c r="I107" s="36"/>
      <c r="J107" s="36"/>
      <c r="K107" s="36"/>
    </row>
    <row r="108" spans="1:11" x14ac:dyDescent="0.25">
      <c r="A108" s="36"/>
      <c r="B108" s="36"/>
      <c r="C108" s="36"/>
      <c r="D108" s="36"/>
      <c r="E108" s="36"/>
      <c r="F108" s="36"/>
      <c r="G108" s="36"/>
      <c r="H108" s="36"/>
      <c r="I108" s="36"/>
      <c r="J108" s="36"/>
      <c r="K108" s="36"/>
    </row>
    <row r="109" spans="1:11" x14ac:dyDescent="0.25">
      <c r="A109" s="36"/>
      <c r="B109" s="36"/>
      <c r="C109" s="36"/>
      <c r="D109" s="36"/>
      <c r="E109" s="36"/>
      <c r="F109" s="36"/>
      <c r="G109" s="36"/>
      <c r="H109" s="36"/>
      <c r="I109" s="36"/>
      <c r="J109" s="36"/>
      <c r="K109" s="36"/>
    </row>
    <row r="110" spans="1:11" x14ac:dyDescent="0.25">
      <c r="A110" s="36"/>
      <c r="B110" s="36"/>
      <c r="C110" s="36"/>
      <c r="D110" s="36"/>
      <c r="E110" s="36"/>
      <c r="F110" s="36"/>
      <c r="G110" s="36"/>
      <c r="H110" s="36"/>
      <c r="I110" s="36"/>
      <c r="J110" s="36"/>
      <c r="K110" s="36"/>
    </row>
    <row r="111" spans="1:11" x14ac:dyDescent="0.25">
      <c r="A111" s="36"/>
      <c r="B111" s="36"/>
      <c r="C111" s="36"/>
      <c r="D111" s="36"/>
      <c r="E111" s="36"/>
      <c r="F111" s="36"/>
      <c r="G111" s="36"/>
      <c r="H111" s="36"/>
      <c r="I111" s="36"/>
      <c r="J111" s="36"/>
      <c r="K111" s="36"/>
    </row>
  </sheetData>
  <mergeCells count="2">
    <mergeCell ref="A21:K65"/>
    <mergeCell ref="A67:K1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Sheet1</vt:lpstr>
      <vt:lpstr>Vendors</vt:lpstr>
      <vt:lpstr>Materials</vt:lpstr>
      <vt:lpstr>Colors</vt:lpstr>
      <vt:lpstr>Thickness</vt:lpstr>
      <vt:lpstr>Inventory</vt:lpstr>
      <vt:lpstr>data</vt:lpstr>
      <vt:lpstr>ATTNCELL</vt:lpstr>
      <vt:lpstr>DATECELL</vt:lpstr>
      <vt:lpstr>ETACELL</vt:lpstr>
      <vt:lpstr>LEGALCELL</vt:lpstr>
      <vt:lpstr>LOGOCELL</vt:lpstr>
      <vt:lpstr>NCLEGAL</vt:lpstr>
      <vt:lpstr>NSLEGAL</vt:lpstr>
      <vt:lpstr>PONUMBERCELL</vt:lpstr>
      <vt:lpstr>PONUMCELL</vt:lpstr>
      <vt:lpstr>Sheet1!Print_Area</vt:lpstr>
      <vt:lpstr>PROJECTCELL</vt:lpstr>
      <vt:lpstr>PROJECTNUMBERCELL</vt:lpstr>
      <vt:lpstr>PURCHASERCELL</vt:lpstr>
      <vt:lpstr>PURCHASERINITIALCELL</vt:lpstr>
      <vt:lpstr>SHIPADD1</vt:lpstr>
      <vt:lpstr>SHIPADD1CELL</vt:lpstr>
      <vt:lpstr>SHIPADD2CELL</vt:lpstr>
      <vt:lpstr>SHIPTOCELL</vt:lpstr>
      <vt:lpstr>VENDORCELL</vt:lpstr>
      <vt:lpstr>ZZ</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Brandan Haertel</dc:creator>
  <cp:lastModifiedBy>Brandan Haertel</cp:lastModifiedBy>
  <cp:lastPrinted>2015-05-26T18:26:31Z</cp:lastPrinted>
  <dcterms:created xsi:type="dcterms:W3CDTF">2015-04-07T18:09:51Z</dcterms:created>
  <dcterms:modified xsi:type="dcterms:W3CDTF">2015-06-18T21:56:40Z</dcterms:modified>
</cp:coreProperties>
</file>