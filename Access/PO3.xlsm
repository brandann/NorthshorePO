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300" windowWidth="27795" windowHeight="12405"/>
  </bookViews>
  <sheets>
    <sheet name="Sheet1" sheetId="1" r:id="rId1"/>
    <sheet name="Vendors" sheetId="2" r:id="rId2"/>
    <sheet name="Materials" sheetId="3" r:id="rId3"/>
    <sheet name="Colors" sheetId="4" r:id="rId4"/>
    <sheet name="Thickness" sheetId="5" r:id="rId5"/>
    <sheet name="Inventory" sheetId="6" r:id="rId6"/>
  </sheets>
  <definedNames>
    <definedName name="ATTN">Sheet1!$G$7</definedName>
    <definedName name="CATLIST">Sheet1!$W$1:$W$19</definedName>
    <definedName name="COLOR1">Sheet1!$BL$17</definedName>
    <definedName name="COLOR10">Sheet1!$BL$26</definedName>
    <definedName name="COLOR11">Sheet1!$BL$27</definedName>
    <definedName name="COLOR2">Sheet1!$BL$18</definedName>
    <definedName name="COLOR3">Sheet1!$BL$19</definedName>
    <definedName name="COLOR4">Sheet1!$BL$20</definedName>
    <definedName name="COLOR5">Sheet1!$BL$21</definedName>
    <definedName name="COLOR6">Sheet1!$BL$22</definedName>
    <definedName name="COLOR7">Sheet1!$BL$23</definedName>
    <definedName name="COLOR8">Sheet1!$BL$24</definedName>
    <definedName name="COLOR9">Sheet1!$BL$25</definedName>
    <definedName name="DATE">Sheet1!$G$13</definedName>
    <definedName name="DATEDELIVERY">Sheet1!$G$14</definedName>
    <definedName name="DATEREQ">Sheet1!#REF!</definedName>
    <definedName name="DECRIPTION2">Sheet1!$B$18</definedName>
    <definedName name="DESCRIPTION1">Sheet1!$B$17</definedName>
    <definedName name="DESCRIPTION10">Sheet1!$B$26</definedName>
    <definedName name="DESCRIPTION11">Sheet1!$B$27</definedName>
    <definedName name="DESCRIPTION2">Sheet1!$B$18</definedName>
    <definedName name="DESCRIPTION3">Sheet1!$B$19</definedName>
    <definedName name="DESCRIPTION4">Sheet1!$B$20</definedName>
    <definedName name="DESCRIPTION5">Sheet1!$B$21</definedName>
    <definedName name="DESCRIPTION6">Sheet1!$B$22</definedName>
    <definedName name="DESCRIPTION7">Sheet1!$B$23</definedName>
    <definedName name="DESCRIPTION8">Sheet1!$B$24</definedName>
    <definedName name="DESCRIPTION9">Sheet1!$B$25</definedName>
    <definedName name="DesignationCombo">Sheet1!$V$1:$V$4</definedName>
    <definedName name="FAX">Sheet1!#REF!</definedName>
    <definedName name="HEIGHT1">Sheet1!$BN$17</definedName>
    <definedName name="HEIGHT10">Sheet1!$BN$26</definedName>
    <definedName name="HEIGHT11">Sheet1!$BN$27</definedName>
    <definedName name="HEIGHT2">Sheet1!$BN$18</definedName>
    <definedName name="HEIGHT3">Sheet1!$BN$19</definedName>
    <definedName name="HEIGHT4">Sheet1!$BN$20</definedName>
    <definedName name="HEIGHT5">Sheet1!$BN$21</definedName>
    <definedName name="HEIGHT6">Sheet1!$BN$22</definedName>
    <definedName name="HEIGHT7">Sheet1!$BN$23</definedName>
    <definedName name="HEIGHT8">Sheet1!$BN$24</definedName>
    <definedName name="HEIGHT9">Sheet1!$BN$25</definedName>
    <definedName name="LEGAL">Sheet1!$A$43</definedName>
    <definedName name="LOGO">Sheet1!$B$5</definedName>
    <definedName name="MATER1">Sheet1!$BK$17</definedName>
    <definedName name="MATER10">Sheet1!$BK$26</definedName>
    <definedName name="MATER11">Sheet1!$BK$27</definedName>
    <definedName name="MATER2">Sheet1!$BK$18</definedName>
    <definedName name="MATER3">Sheet1!$BK$19</definedName>
    <definedName name="MATER4">Sheet1!$BK$20</definedName>
    <definedName name="MATER5">Sheet1!$BK$21</definedName>
    <definedName name="MATER6">Sheet1!$BK$22</definedName>
    <definedName name="MATER7">Sheet1!$BK$23</definedName>
    <definedName name="MATER8">Sheet1!$BK$24</definedName>
    <definedName name="MATER9">Sheet1!$BK$25</definedName>
    <definedName name="MATERIAL1">Sheet1!$N$17</definedName>
    <definedName name="MATERIAL10">Sheet1!$N$26</definedName>
    <definedName name="MATERIAL11">Sheet1!$N$27</definedName>
    <definedName name="MATERIAL2">Sheet1!$N$18</definedName>
    <definedName name="MATERIAL3">Sheet1!$N$19</definedName>
    <definedName name="MATERIAL4">Sheet1!$N$20</definedName>
    <definedName name="MATERIAL5">Sheet1!$N$21</definedName>
    <definedName name="MATERIAL6">Sheet1!$N$22</definedName>
    <definedName name="MATERIAL7">Sheet1!$N$23</definedName>
    <definedName name="MATERIAL8">Sheet1!$N$24</definedName>
    <definedName name="MATERIAL9">Sheet1!$N$25</definedName>
    <definedName name="MATGAG1">Sheet1!$BJ$17</definedName>
    <definedName name="MATGAG10">Sheet1!$BJ$26</definedName>
    <definedName name="MATGAG11">Sheet1!$BJ$27</definedName>
    <definedName name="MATGAG2">Sheet1!$BJ$18</definedName>
    <definedName name="MATGAG3">Sheet1!$BJ$19</definedName>
    <definedName name="MATGAG4">Sheet1!$BJ$20</definedName>
    <definedName name="MATGAG5">Sheet1!$BJ$21</definedName>
    <definedName name="MATGAG6">Sheet1!$BJ$22</definedName>
    <definedName name="MATGAG7">Sheet1!$BJ$23</definedName>
    <definedName name="MATGAG8">Sheet1!$BJ$24</definedName>
    <definedName name="MATGAG9">Sheet1!$BJ$25</definedName>
    <definedName name="NCLEGAL">Sheet1!$AW$2</definedName>
    <definedName name="NSLEGAL">Sheet1!$AK$2</definedName>
    <definedName name="NssmInventory" localSheetId="3" hidden="1">Colors!$A$1:$D$327</definedName>
    <definedName name="NssmInventory" localSheetId="5" hidden="1">Inventory!$A$1:$W$2</definedName>
    <definedName name="NssmInventory" localSheetId="2" hidden="1">Materials!$A$1:$B$8</definedName>
    <definedName name="NssmInventory" localSheetId="4" hidden="1">Thickness!$A$1:$B$34</definedName>
    <definedName name="NssmInventory_1" localSheetId="1" hidden="1">Vendors!$A$1:$K$57</definedName>
    <definedName name="ORDER_BY">Sheet1!$C$11</definedName>
    <definedName name="PONUM">Sheet1!$C$9</definedName>
    <definedName name="_xlnm.Print_Area" localSheetId="0">Sheet1!$A$4:$K$87</definedName>
    <definedName name="PROJECT">Sheet1!$C$13</definedName>
    <definedName name="PROJECTNUMBER">Sheet1!$C$14</definedName>
    <definedName name="PURCHASING">Sheet1!$F$37</definedName>
    <definedName name="QUANT1">Sheet1!$F$17</definedName>
    <definedName name="QUANT10">Sheet1!$F$26</definedName>
    <definedName name="QUANT11">Sheet1!$F$27</definedName>
    <definedName name="QUANT2">Sheet1!$F$18</definedName>
    <definedName name="QUANT3">Sheet1!$F$19</definedName>
    <definedName name="QUANT4">Sheet1!$F$20</definedName>
    <definedName name="QUANT5">Sheet1!$F$21</definedName>
    <definedName name="QUANT6">Sheet1!$F$22</definedName>
    <definedName name="QUANT7">Sheet1!$F$23</definedName>
    <definedName name="QUANT8">Sheet1!$F$24</definedName>
    <definedName name="QUANT9">Sheet1!$F$25</definedName>
    <definedName name="Query_from_MS_Access_Database" localSheetId="1" hidden="1">Vendors!#REF!</definedName>
    <definedName name="QUNIT1">Sheet1!$G$17</definedName>
    <definedName name="QUNIT10">Sheet1!$G$26</definedName>
    <definedName name="QUNIT11">Sheet1!$G$27</definedName>
    <definedName name="QUNIT2">Sheet1!$G$18</definedName>
    <definedName name="QUNIT3">Sheet1!$G$19</definedName>
    <definedName name="QUNIT4">Sheet1!$G$20</definedName>
    <definedName name="QUNIT5">Sheet1!$G$21</definedName>
    <definedName name="QUNIT6">Sheet1!$G$22</definedName>
    <definedName name="QUNIT7">Sheet1!$G$23</definedName>
    <definedName name="QUNIT8">Sheet1!$G$24</definedName>
    <definedName name="QUNIT9">Sheet1!$G$25</definedName>
    <definedName name="SHIPTO">Sheet1!$G$9</definedName>
    <definedName name="SHIPTOADD1">Sheet1!$G$10</definedName>
    <definedName name="SHIPTOADD2">Sheet1!$G$11</definedName>
    <definedName name="SHIPVIA">Sheet1!#REF!</definedName>
    <definedName name="STATUS">Sheet1!$X$1:$X$3</definedName>
    <definedName name="STATUS1">Sheet1!$BH$17</definedName>
    <definedName name="STATUS10">Sheet1!$BH$26</definedName>
    <definedName name="STATUS11">Sheet1!$BH$27</definedName>
    <definedName name="STATUS2">Sheet1!$BH$18</definedName>
    <definedName name="STATUS3">Sheet1!$BH$19</definedName>
    <definedName name="STATUS4">Sheet1!$BH$20</definedName>
    <definedName name="STATUS5">Sheet1!$BH$21</definedName>
    <definedName name="STATUS6">Sheet1!$BH$22</definedName>
    <definedName name="STATUS7">Sheet1!$BH$23</definedName>
    <definedName name="STATUS8">Sheet1!$BH$24</definedName>
    <definedName name="STATUS9">Sheet1!$BH$25</definedName>
    <definedName name="STOCK1">Sheet1!$M$17</definedName>
    <definedName name="STOCK10">Sheet1!$M$26</definedName>
    <definedName name="STOCK11">Sheet1!$M$27</definedName>
    <definedName name="STOCK2">Sheet1!$M$18</definedName>
    <definedName name="STOCK3">Sheet1!$M$19</definedName>
    <definedName name="STOCK4">Sheet1!$M$20</definedName>
    <definedName name="STOCK5">Sheet1!$M$21</definedName>
    <definedName name="STOCK6">Sheet1!$M$22</definedName>
    <definedName name="STOCK7">Sheet1!$M$23</definedName>
    <definedName name="STOCK8">Sheet1!$M$24</definedName>
    <definedName name="STOCK9">Sheet1!$M$25</definedName>
    <definedName name="TO">Sheet1!$G$6</definedName>
    <definedName name="TOTAL1">Sheet1!$I$17</definedName>
    <definedName name="TOTAL10">Sheet1!$I$26</definedName>
    <definedName name="TOTAL11">Sheet1!$I$27</definedName>
    <definedName name="TOTAL2">Sheet1!$I$18</definedName>
    <definedName name="TOTAL3">Sheet1!$I$19</definedName>
    <definedName name="TOTAL4">Sheet1!$I$20</definedName>
    <definedName name="TOTAL5">Sheet1!$I$21</definedName>
    <definedName name="TOTAL6">Sheet1!$I$22</definedName>
    <definedName name="TOTAL7">Sheet1!$I$23</definedName>
    <definedName name="TOTAL8">Sheet1!$I$24</definedName>
    <definedName name="TOTAL9">Sheet1!$I$25</definedName>
    <definedName name="UNIT1">Sheet1!$H$17</definedName>
    <definedName name="UNIT10">Sheet1!$H$26</definedName>
    <definedName name="UNIT11">Sheet1!$H$27</definedName>
    <definedName name="UNIT2">Sheet1!$H$18</definedName>
    <definedName name="UNIT3">Sheet1!$H$19</definedName>
    <definedName name="UNIT4">Sheet1!$H$20</definedName>
    <definedName name="UNIT5">Sheet1!$H$21</definedName>
    <definedName name="UNIT6">Sheet1!$H$22</definedName>
    <definedName name="UNIT7">Sheet1!$H$23</definedName>
    <definedName name="UNIT8">Sheet1!$H$24</definedName>
    <definedName name="UNIT9">Sheet1!$H$25</definedName>
    <definedName name="UNITS1">Sheet1!$BO$17</definedName>
    <definedName name="UNITS10">Sheet1!$BO$26</definedName>
    <definedName name="UNITS11">Sheet1!$BO$27</definedName>
    <definedName name="UNITS2">Sheet1!$BO$18</definedName>
    <definedName name="UNITS3">Sheet1!$BO$19</definedName>
    <definedName name="UNITS4">Sheet1!$BO$20</definedName>
    <definedName name="UNITS5">Sheet1!$BO$21</definedName>
    <definedName name="UNITS6">Sheet1!$BO$22</definedName>
    <definedName name="UNITS7">Sheet1!$BO$23</definedName>
    <definedName name="UNITS8">Sheet1!$BO$24</definedName>
    <definedName name="UNITS9">Sheet1!$BO$25</definedName>
    <definedName name="VENDOR">Sheet1!$F$39</definedName>
    <definedName name="WIDTH1">Sheet1!$BM$17</definedName>
    <definedName name="WIDTH10">Sheet1!$BM$26</definedName>
    <definedName name="WIDTH11">Sheet1!$BM$27</definedName>
    <definedName name="WIDTH2">Sheet1!$BM$18</definedName>
    <definedName name="WIDTH3">Sheet1!$BM$19</definedName>
    <definedName name="WIDTH4">Sheet1!$BM$20</definedName>
    <definedName name="WIDTH5">Sheet1!$BM$21</definedName>
    <definedName name="WIDTH6">Sheet1!$BM$22</definedName>
    <definedName name="WIDTH7">Sheet1!$BM$23</definedName>
    <definedName name="WIDTH8">Sheet1!$BM$24</definedName>
    <definedName name="WIDTH9">Sheet1!$BM$25</definedName>
    <definedName name="YesNo">Sheet1!$V$1:$V$2</definedName>
  </definedNames>
  <calcPr calcId="145621"/>
</workbook>
</file>

<file path=xl/calcChain.xml><?xml version="1.0" encoding="utf-8"?>
<calcChain xmlns="http://schemas.openxmlformats.org/spreadsheetml/2006/main">
  <c r="F35" i="1" l="1"/>
  <c r="A41" i="1"/>
  <c r="I27" i="1" l="1"/>
  <c r="I26" i="1"/>
  <c r="I25" i="1"/>
  <c r="I24" i="1"/>
  <c r="I23" i="1"/>
  <c r="I22" i="1"/>
  <c r="I21" i="1"/>
  <c r="I20" i="1"/>
  <c r="I19" i="1"/>
  <c r="I18" i="1"/>
  <c r="I17" i="1"/>
  <c r="AE18" i="1" l="1"/>
  <c r="AE19" i="1"/>
  <c r="AE20" i="1"/>
  <c r="AE21" i="1"/>
  <c r="AE22" i="1"/>
  <c r="AE23" i="1"/>
  <c r="AE24" i="1"/>
  <c r="AE25" i="1"/>
  <c r="AE26" i="1"/>
  <c r="AE27" i="1"/>
  <c r="AE17" i="1"/>
  <c r="AD18" i="1"/>
  <c r="AD19" i="1"/>
  <c r="AD20" i="1"/>
  <c r="AD21" i="1"/>
  <c r="AD22" i="1"/>
  <c r="AD23" i="1"/>
  <c r="AD24" i="1"/>
  <c r="AD25" i="1"/>
  <c r="AD26" i="1"/>
  <c r="AD27" i="1"/>
  <c r="AD17" i="1"/>
  <c r="M10" i="1" l="1"/>
  <c r="M9" i="1"/>
  <c r="Y18" i="1"/>
  <c r="Z18" i="1"/>
  <c r="Y19" i="1"/>
  <c r="Z19" i="1"/>
  <c r="Y20" i="1"/>
  <c r="Z20" i="1"/>
  <c r="Y21" i="1"/>
  <c r="Z21" i="1"/>
  <c r="Y22" i="1"/>
  <c r="Z22" i="1"/>
  <c r="Y23" i="1"/>
  <c r="Z23" i="1"/>
  <c r="Y24" i="1"/>
  <c r="Z24" i="1"/>
  <c r="Y25" i="1"/>
  <c r="Z25" i="1"/>
  <c r="Y26" i="1"/>
  <c r="Z26" i="1"/>
  <c r="Y27" i="1"/>
  <c r="Z27" i="1"/>
  <c r="Z17" i="1"/>
  <c r="Y17" i="1"/>
  <c r="M6" i="1"/>
  <c r="M5" i="1"/>
  <c r="M4" i="1"/>
  <c r="M3" i="1"/>
  <c r="U27" i="1"/>
  <c r="U26" i="1"/>
  <c r="U25" i="1"/>
  <c r="U24" i="1"/>
  <c r="AA26" i="1" l="1"/>
  <c r="AB26" i="1" s="1"/>
  <c r="AA24" i="1"/>
  <c r="AB24" i="1" s="1"/>
  <c r="AA17" i="1"/>
  <c r="AB17" i="1" s="1"/>
  <c r="AA27" i="1"/>
  <c r="AB27" i="1" s="1"/>
  <c r="AA25" i="1"/>
  <c r="AB25" i="1" s="1"/>
  <c r="L24" i="1"/>
  <c r="AA23" i="1"/>
  <c r="AB23" i="1" s="1"/>
  <c r="AA22" i="1"/>
  <c r="AB22" i="1" s="1"/>
  <c r="L22" i="1"/>
  <c r="AA21" i="1"/>
  <c r="AB21" i="1" s="1"/>
  <c r="AA20" i="1"/>
  <c r="AB20" i="1" s="1"/>
  <c r="AA19" i="1"/>
  <c r="AB19" i="1" s="1"/>
  <c r="AA18" i="1"/>
  <c r="AB18" i="1" s="1"/>
  <c r="L26" i="1"/>
  <c r="L27" i="1"/>
  <c r="L25" i="1"/>
  <c r="L23" i="1"/>
  <c r="L21" i="1"/>
  <c r="L20" i="1"/>
  <c r="L19" i="1"/>
  <c r="L18" i="1"/>
  <c r="L17" i="1"/>
  <c r="W17" i="1"/>
  <c r="U18" i="1"/>
  <c r="U19" i="1"/>
  <c r="U20" i="1"/>
  <c r="U21" i="1"/>
  <c r="U22" i="1"/>
  <c r="U23" i="1"/>
  <c r="U17" i="1"/>
  <c r="M8" i="1" l="1"/>
  <c r="M7" i="1"/>
  <c r="I28" i="1"/>
</calcChain>
</file>

<file path=xl/connections.xml><?xml version="1.0" encoding="utf-8"?>
<connections xmlns="http://schemas.openxmlformats.org/spreadsheetml/2006/main">
  <connection id="1" sourceFile="N:\Receiving and current inventory\NssmInventory.mdb" keepAlive="1" name="NssmInventory"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2" sourceFile="N:\Receiving and current inventory\NssmInventory.mdb" odcFile="C:\Users\brandan\Documents\My Data Sources\NssmInventory Color.odc" keepAlive="1" name="NssmInventory Color" type="5" refreshedVersion="0" new="1" background="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3" sourceFile="N:\Receiving and current inventory\NssmInventory.mdb" keepAlive="1" interval="30" name="NssmInventory Inventory" type="5" refreshedVersion="0" new="1" background="1" refreshOnLoad="1" saveData="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 id="4" sourceFile="N:\Receiving and current inventory\NssmInventory.mdb" keepAlive="1" name="NssmInventory Material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Material" commandType="3"/>
  </connection>
  <connection id="5" sourceFile="C:\Users\brandan\Documents\NorthshorePO\Access\NssmInventory.mdb" keepAlive="1" name="NssmInventory PO_Table" type="5" refreshedVersion="0" new="1" background="1" refreshOnLoa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 id="6" sourceFile="N:\Receiving and current inventory\NssmInventory.mdb" keepAlive="1" name="NssmInventory Thickness"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hickness" commandType="3"/>
  </connection>
  <connection id="7" sourceFile="N:\Receiving and current inventory\NssmInventory.mdb" keepAlive="1" name="NssmInventory Vendors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Vendors" commandType="3"/>
  </connection>
  <connection id="8" sourceFile="N:\Receiving and current inventory\NssmInventory.mdb" keepAlive="1" name="NssmInventory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s>
</file>

<file path=xl/sharedStrings.xml><?xml version="1.0" encoding="utf-8"?>
<sst xmlns="http://schemas.openxmlformats.org/spreadsheetml/2006/main" count="1270" uniqueCount="490">
  <si>
    <t>Attn:</t>
  </si>
  <si>
    <t>Description</t>
  </si>
  <si>
    <t>Qty.</t>
  </si>
  <si>
    <t>Unit Price</t>
  </si>
  <si>
    <t>Purchase Order No.:</t>
  </si>
  <si>
    <t>Date:</t>
  </si>
  <si>
    <t>Ship To:</t>
  </si>
  <si>
    <t>Project:</t>
  </si>
  <si>
    <t>Total</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</si>
  <si>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</si>
  <si>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</si>
  <si>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</si>
  <si>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</si>
  <si>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</si>
  <si>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</si>
  <si>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</si>
  <si>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</si>
  <si>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Project No.:</t>
  </si>
  <si>
    <t>Order By:</t>
  </si>
  <si>
    <t>WIDTH</t>
  </si>
  <si>
    <t>HEIGHT</t>
  </si>
  <si>
    <t>UNITS</t>
  </si>
  <si>
    <t>DESCRIPTION</t>
  </si>
  <si>
    <t>Total Amount</t>
  </si>
  <si>
    <t>Notes</t>
  </si>
  <si>
    <t>Unit</t>
  </si>
  <si>
    <t>Fasteners</t>
  </si>
  <si>
    <t>Sealant</t>
  </si>
  <si>
    <t>Panel</t>
  </si>
  <si>
    <t>Louver</t>
  </si>
  <si>
    <t>Crate</t>
  </si>
  <si>
    <t>Tools</t>
  </si>
  <si>
    <t>Paint</t>
  </si>
  <si>
    <t>Other</t>
  </si>
  <si>
    <t>Category</t>
  </si>
  <si>
    <t>ERRORS</t>
  </si>
  <si>
    <t>Everett, WA 98204</t>
  </si>
  <si>
    <t>11831 Beverly Park Road, Building C</t>
  </si>
  <si>
    <t>(Purchasing Agent)</t>
  </si>
  <si>
    <t>(Vendor Approved)</t>
  </si>
  <si>
    <t>Flat Sheets</t>
  </si>
  <si>
    <t>Extrusions</t>
  </si>
  <si>
    <t>Shop Supply</t>
  </si>
  <si>
    <t>Field Material</t>
  </si>
  <si>
    <t>Designation</t>
  </si>
  <si>
    <t>Northshore</t>
  </si>
  <si>
    <t>Northclad</t>
  </si>
  <si>
    <t>Stock/Shop</t>
  </si>
  <si>
    <t>designation</t>
  </si>
  <si>
    <t>category</t>
  </si>
  <si>
    <t>Purchase Order Terms and Conditions</t>
  </si>
  <si>
    <t>Morin</t>
  </si>
  <si>
    <t>ID</t>
  </si>
  <si>
    <t>Vendor:</t>
  </si>
  <si>
    <t>MATERIAL_TYPE</t>
  </si>
  <si>
    <t>Aluminum</t>
  </si>
  <si>
    <t>Copper</t>
  </si>
  <si>
    <t>Galvanzied</t>
  </si>
  <si>
    <t>Stainless Steel</t>
  </si>
  <si>
    <t>Zincalume</t>
  </si>
  <si>
    <t>VENDOR</t>
  </si>
  <si>
    <t>Rustique</t>
  </si>
  <si>
    <t>Premium</t>
  </si>
  <si>
    <t>Antique Patina</t>
  </si>
  <si>
    <t>Aegean Copper</t>
  </si>
  <si>
    <t>Weathering Copper</t>
  </si>
  <si>
    <t>Vintage</t>
  </si>
  <si>
    <t>Zinc Grey</t>
  </si>
  <si>
    <t>Standard</t>
  </si>
  <si>
    <t>Colonial Red</t>
  </si>
  <si>
    <t>Marine Green</t>
  </si>
  <si>
    <t>Old Town Gray</t>
  </si>
  <si>
    <t>Parchment</t>
  </si>
  <si>
    <t>Regal White</t>
  </si>
  <si>
    <t>Red</t>
  </si>
  <si>
    <t>Dark Bronze</t>
  </si>
  <si>
    <t>Sierra Tan</t>
  </si>
  <si>
    <t>Weathered Copper</t>
  </si>
  <si>
    <t>Forest Green</t>
  </si>
  <si>
    <t>Tahoe Blue</t>
  </si>
  <si>
    <t>Terra-Cotta</t>
  </si>
  <si>
    <t>Regal Blue</t>
  </si>
  <si>
    <t>Leaf Green</t>
  </si>
  <si>
    <t>Matte Black</t>
  </si>
  <si>
    <t>Hemlock Green</t>
  </si>
  <si>
    <t>Jade Green</t>
  </si>
  <si>
    <t>ZACtique II</t>
  </si>
  <si>
    <t>Metallic Copper</t>
  </si>
  <si>
    <t>Metallic Silver</t>
  </si>
  <si>
    <t>Metallic Champagne</t>
  </si>
  <si>
    <t>Silversmith</t>
  </si>
  <si>
    <t>Champagne Bronze</t>
  </si>
  <si>
    <t>Champagne Pearl</t>
  </si>
  <si>
    <t>Weathered Zinc</t>
  </si>
  <si>
    <t>Copper Penny</t>
  </si>
  <si>
    <t>Medium Gray</t>
  </si>
  <si>
    <t>Metallic</t>
  </si>
  <si>
    <t>Seafoam Green</t>
  </si>
  <si>
    <t>Champagne Gold</t>
  </si>
  <si>
    <t>Bright Silver</t>
  </si>
  <si>
    <t>Imperial White</t>
  </si>
  <si>
    <t>Stock</t>
  </si>
  <si>
    <t>Granitstone</t>
  </si>
  <si>
    <t>Sandstone</t>
  </si>
  <si>
    <t>Surrey Beige</t>
  </si>
  <si>
    <t>Rawhide</t>
  </si>
  <si>
    <t>Dakota Bronze</t>
  </si>
  <si>
    <t>Granitestone Quartz</t>
  </si>
  <si>
    <t>Foxwood Bronze</t>
  </si>
  <si>
    <t>Pre-Weathered Blue Gray</t>
  </si>
  <si>
    <t>Rheinzink Alloys</t>
  </si>
  <si>
    <t>Pre-Weathered Graphite Gray</t>
  </si>
  <si>
    <t>Ascot White</t>
  </si>
  <si>
    <t>Bone White</t>
  </si>
  <si>
    <t>Dove Gray</t>
  </si>
  <si>
    <t>Zinc Gray</t>
  </si>
  <si>
    <t>Chromium Gray</t>
  </si>
  <si>
    <t>Antique Bronze</t>
  </si>
  <si>
    <t>Spartan Bronze</t>
  </si>
  <si>
    <t>Redwood</t>
  </si>
  <si>
    <t>Patina Green</t>
  </si>
  <si>
    <t>Evergreen</t>
  </si>
  <si>
    <t>Slate Blue</t>
  </si>
  <si>
    <t>Blue Gray</t>
  </si>
  <si>
    <t>1. DEFINITIONS. As used herein; (i) “Purchaser” shall mean Northclad,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t>
  </si>
  <si>
    <t>THICKNESS</t>
  </si>
  <si>
    <t>24 GA</t>
  </si>
  <si>
    <t>26 GA</t>
  </si>
  <si>
    <t>22 GA</t>
  </si>
  <si>
    <t>20 GA</t>
  </si>
  <si>
    <t>18 GA</t>
  </si>
  <si>
    <t>16 GA</t>
  </si>
  <si>
    <t>14 GA</t>
  </si>
  <si>
    <t>12 GA</t>
  </si>
  <si>
    <t>10 GA</t>
  </si>
  <si>
    <t>8 GA</t>
  </si>
  <si>
    <t>0.030 IN</t>
  </si>
  <si>
    <t>0.032 IN</t>
  </si>
  <si>
    <t>0.060 IN</t>
  </si>
  <si>
    <t>0.063 IN</t>
  </si>
  <si>
    <t>0.090 IN</t>
  </si>
  <si>
    <t>0.125 IN</t>
  </si>
  <si>
    <t>8 MM</t>
  </si>
  <si>
    <t>12 MM</t>
  </si>
  <si>
    <t>ETA:</t>
  </si>
  <si>
    <t>Status</t>
  </si>
  <si>
    <t>Inventory</t>
  </si>
  <si>
    <t>Shipping/Receiving</t>
  </si>
  <si>
    <t>Jobsite Delivery</t>
  </si>
  <si>
    <t>TYPE</t>
  </si>
  <si>
    <t>Field</t>
  </si>
  <si>
    <t>Aames general store</t>
  </si>
  <si>
    <t>Aep Span</t>
  </si>
  <si>
    <t>Alcoa/Reynobond</t>
  </si>
  <si>
    <t>Alesther</t>
  </si>
  <si>
    <t>Alpolic</t>
  </si>
  <si>
    <t>Alucoil</t>
  </si>
  <si>
    <t>Argeton</t>
  </si>
  <si>
    <t>atlas supply</t>
  </si>
  <si>
    <t>Bestworth rommel</t>
  </si>
  <si>
    <t>Bonnell Aluminum</t>
  </si>
  <si>
    <t>Citadel</t>
  </si>
  <si>
    <t>Coast Aluminum</t>
  </si>
  <si>
    <t>Copper Sales</t>
  </si>
  <si>
    <t>Crate Tech</t>
  </si>
  <si>
    <t>Custom Bilt</t>
  </si>
  <si>
    <t>Everett Steel</t>
  </si>
  <si>
    <t>Fabral</t>
  </si>
  <si>
    <t>Fastenal</t>
  </si>
  <si>
    <t>Firestone/Unaclad</t>
  </si>
  <si>
    <t>grating pacific</t>
  </si>
  <si>
    <t>H-O Products</t>
  </si>
  <si>
    <t>Hydroslice</t>
  </si>
  <si>
    <t>Jarden</t>
  </si>
  <si>
    <t>Kerlite</t>
  </si>
  <si>
    <t>Knight Wall</t>
  </si>
  <si>
    <t>Larson</t>
  </si>
  <si>
    <t>Metal Sales</t>
  </si>
  <si>
    <t>Metal Tech- USA</t>
  </si>
  <si>
    <t>Metalistics</t>
  </si>
  <si>
    <t>Millenum tile</t>
  </si>
  <si>
    <t>Nu-Ray Metals</t>
  </si>
  <si>
    <t>Pac Clad</t>
  </si>
  <si>
    <t>Pacific Metals</t>
  </si>
  <si>
    <t>Peterson Alum.</t>
  </si>
  <si>
    <t>Procure</t>
  </si>
  <si>
    <t>Production Plating</t>
  </si>
  <si>
    <t>quality metalcrafts</t>
  </si>
  <si>
    <t>Queen City Roofing</t>
  </si>
  <si>
    <t>Reliance Screw Prod</t>
  </si>
  <si>
    <t>Rheinzink</t>
  </si>
  <si>
    <t>RSI</t>
  </si>
  <si>
    <t>Ryerson</t>
  </si>
  <si>
    <t>SAPA</t>
  </si>
  <si>
    <t>SFS intec</t>
  </si>
  <si>
    <t>Stoneway Electric</t>
  </si>
  <si>
    <t>Stonewood/ Fiberesin</t>
  </si>
  <si>
    <t>Sun Supply</t>
  </si>
  <si>
    <t>Tri Jack</t>
  </si>
  <si>
    <t>Triangle</t>
  </si>
  <si>
    <t>united duralume</t>
  </si>
  <si>
    <t>Vaproshield</t>
  </si>
  <si>
    <t>Vivix</t>
  </si>
  <si>
    <t>Brandan Haertel</t>
  </si>
  <si>
    <t>ADDRESS1</t>
  </si>
  <si>
    <t>ADDRESS2</t>
  </si>
  <si>
    <t>STATE</t>
  </si>
  <si>
    <t>CITY</t>
  </si>
  <si>
    <t>ZIP</t>
  </si>
  <si>
    <t>WEB</t>
  </si>
  <si>
    <t>PHONE</t>
  </si>
  <si>
    <t>FAX</t>
  </si>
  <si>
    <t>COUNTRY</t>
  </si>
  <si>
    <t>714 W. Angus Avenue</t>
  </si>
  <si>
    <t>Suite E</t>
  </si>
  <si>
    <t>CA</t>
  </si>
  <si>
    <t>Orange</t>
  </si>
  <si>
    <t>92868</t>
  </si>
  <si>
    <t>http://www.aamesgeneralstore.com/</t>
  </si>
  <si>
    <t>USA</t>
  </si>
  <si>
    <t>WA</t>
  </si>
  <si>
    <t>Tacoma</t>
  </si>
  <si>
    <t>http://www.aepspan.com/</t>
  </si>
  <si>
    <t>800-733-4955</t>
  </si>
  <si>
    <t>253-272-0791</t>
  </si>
  <si>
    <t>50 Industrial Boulevard</t>
  </si>
  <si>
    <t>Georgia</t>
  </si>
  <si>
    <t>Eastman</t>
  </si>
  <si>
    <t>31023</t>
  </si>
  <si>
    <t>https://www.alcoa.com/aap/north_america/en/home.asp</t>
  </si>
  <si>
    <t>1-478-374-4746</t>
  </si>
  <si>
    <t>1-478-374-7041</t>
  </si>
  <si>
    <t>3117 Norland Avenue</t>
  </si>
  <si>
    <t>BC</t>
  </si>
  <si>
    <t>Burnaby</t>
  </si>
  <si>
    <t>http://www.alesthermetal.com/</t>
  </si>
  <si>
    <t>604-291-6671</t>
  </si>
  <si>
    <t>604-299-9180</t>
  </si>
  <si>
    <t>V5B 3A9, CANADA</t>
  </si>
  <si>
    <t>401 Volvo Parkway</t>
  </si>
  <si>
    <t>VA</t>
  </si>
  <si>
    <t>Chesapeake</t>
  </si>
  <si>
    <t>23320</t>
  </si>
  <si>
    <t>http://www.alpolic-americas.com/en</t>
  </si>
  <si>
    <t>1.800.422.7270</t>
  </si>
  <si>
    <t>http://alucoil.com/northamerica/</t>
  </si>
  <si>
    <t>Bryer Company</t>
  </si>
  <si>
    <t>http://www.citadelap.com/</t>
  </si>
  <si>
    <t>Cascadia Metals</t>
  </si>
  <si>
    <t>19022 80th Ave. South</t>
  </si>
  <si>
    <t>Kent</t>
  </si>
  <si>
    <t>98032</t>
  </si>
  <si>
    <t>http://www.cmetals.com/us/home.html</t>
  </si>
  <si>
    <t>253-333-0218</t>
  </si>
  <si>
    <t>253-735-0276</t>
  </si>
  <si>
    <t>Alcotex</t>
  </si>
  <si>
    <t>Platinum</t>
  </si>
  <si>
    <t>Reynobond</t>
  </si>
  <si>
    <t>Colorweld 500 Series Two</t>
  </si>
  <si>
    <t>Vancouver Copper</t>
  </si>
  <si>
    <t>Anodic Clear</t>
  </si>
  <si>
    <t>Anodic Satin</t>
  </si>
  <si>
    <t>Anodic Bronze</t>
  </si>
  <si>
    <t>Bright Silver Metallic</t>
  </si>
  <si>
    <t>Colorweld 500XL Series Three</t>
  </si>
  <si>
    <t>Champagne Metallic</t>
  </si>
  <si>
    <t>Titanium</t>
  </si>
  <si>
    <t>Nordic White</t>
  </si>
  <si>
    <t>Natural Finish: Wood</t>
  </si>
  <si>
    <t>Sunny Pear</t>
  </si>
  <si>
    <t>Walnut Brown</t>
  </si>
  <si>
    <t>Mahogany Brown</t>
  </si>
  <si>
    <t>Embala Brown</t>
  </si>
  <si>
    <t>Oleyo Brown</t>
  </si>
  <si>
    <t>Aneho Brown</t>
  </si>
  <si>
    <t>Café Brown</t>
  </si>
  <si>
    <t>Terra Cream</t>
  </si>
  <si>
    <t>Natural Finish: Terra/Mineral</t>
  </si>
  <si>
    <t>Terra di Tosca</t>
  </si>
  <si>
    <t>Terra Cotta Mineral</t>
  </si>
  <si>
    <t>Terra di Siena</t>
  </si>
  <si>
    <t>Mineral Grey</t>
  </si>
  <si>
    <t>Mineral Antra Metalica</t>
  </si>
  <si>
    <t>Mineral Red</t>
  </si>
  <si>
    <t>Cedar Brown</t>
  </si>
  <si>
    <t>Pale Oak</t>
  </si>
  <si>
    <t>Golden Oak</t>
  </si>
  <si>
    <t>Jaya Pale</t>
  </si>
  <si>
    <t>Zebra</t>
  </si>
  <si>
    <t>Koya Line</t>
  </si>
  <si>
    <t>Zebrano Natural</t>
  </si>
  <si>
    <t>Dark oak</t>
  </si>
  <si>
    <t>Scottish Oak</t>
  </si>
  <si>
    <t>Italian Walnut</t>
  </si>
  <si>
    <t>Okene Line</t>
  </si>
  <si>
    <t>Dark Zebrano</t>
  </si>
  <si>
    <t>White Granite</t>
  </si>
  <si>
    <t>Natural Finish: Granite</t>
  </si>
  <si>
    <t>Rose Granite</t>
  </si>
  <si>
    <t>Blue-Grey Granite</t>
  </si>
  <si>
    <t>Black Granite</t>
  </si>
  <si>
    <t>Zinc Patina</t>
  </si>
  <si>
    <t>Natural Finish: Patina</t>
  </si>
  <si>
    <t>Copper Patina</t>
  </si>
  <si>
    <t>Rust Patina</t>
  </si>
  <si>
    <t>Aciero Corten</t>
  </si>
  <si>
    <t>Natural Finish: Stone</t>
  </si>
  <si>
    <t>Light Oyster Travertine</t>
  </si>
  <si>
    <t>Apollo Stone</t>
  </si>
  <si>
    <t>Riyad Stone</t>
  </si>
  <si>
    <t>Stone White</t>
  </si>
  <si>
    <t>Almond</t>
  </si>
  <si>
    <t>Slate Gray</t>
  </si>
  <si>
    <t>Cityscape</t>
  </si>
  <si>
    <t>Charcoal Gray</t>
  </si>
  <si>
    <t>Sky Blue</t>
  </si>
  <si>
    <t>Electric Blue</t>
  </si>
  <si>
    <t>Award Blue</t>
  </si>
  <si>
    <t>Extra Dark Bronze</t>
  </si>
  <si>
    <t>Medium Bronze</t>
  </si>
  <si>
    <t>Teal</t>
  </si>
  <si>
    <t>Tropical Patina</t>
  </si>
  <si>
    <t>Dark Ivy</t>
  </si>
  <si>
    <t>Sherwood Green</t>
  </si>
  <si>
    <t>Hartford Green</t>
  </si>
  <si>
    <t>Mansard Brown</t>
  </si>
  <si>
    <t>Regal Red</t>
  </si>
  <si>
    <t>Brandywine</t>
  </si>
  <si>
    <t>Terra Cotta</t>
  </si>
  <si>
    <t>Silver Metallic</t>
  </si>
  <si>
    <t>Classic Copper</t>
  </si>
  <si>
    <t>Off White</t>
  </si>
  <si>
    <t>Oyster White</t>
  </si>
  <si>
    <t>Marble</t>
  </si>
  <si>
    <t>Limestone</t>
  </si>
  <si>
    <t>Cadet Grey</t>
  </si>
  <si>
    <t>Classic Bronze</t>
  </si>
  <si>
    <t>Classic Black</t>
  </si>
  <si>
    <t>Marakesh Red</t>
  </si>
  <si>
    <t>Deep Sea Blue</t>
  </si>
  <si>
    <t>Mica</t>
  </si>
  <si>
    <t>Plantinum</t>
  </si>
  <si>
    <t>Champagne Mica</t>
  </si>
  <si>
    <t>Pewter</t>
  </si>
  <si>
    <t>Pearl Metallic</t>
  </si>
  <si>
    <t>Rustic Copper Metallic</t>
  </si>
  <si>
    <t>Bright Copper Metallic</t>
  </si>
  <si>
    <t>Pweter Metallic</t>
  </si>
  <si>
    <t>Retro Red</t>
  </si>
  <si>
    <t>Twilight Blue</t>
  </si>
  <si>
    <t>Mocha</t>
  </si>
  <si>
    <t>Bronze</t>
  </si>
  <si>
    <t>Old Zinc Gray</t>
  </si>
  <si>
    <t>Black</t>
  </si>
  <si>
    <t>Slate gray</t>
  </si>
  <si>
    <t>Charcoal</t>
  </si>
  <si>
    <t>Champagne</t>
  </si>
  <si>
    <t>Specialty</t>
  </si>
  <si>
    <t>Aged Tin</t>
  </si>
  <si>
    <t>Rustic Steel</t>
  </si>
  <si>
    <t>Galvalume Plus</t>
  </si>
  <si>
    <t>Natural Metals</t>
  </si>
  <si>
    <t>Weathering Steel</t>
  </si>
  <si>
    <t>Preweathered Zinc</t>
  </si>
  <si>
    <t>Anodized Aluminum</t>
  </si>
  <si>
    <t>Snowdrift White</t>
  </si>
  <si>
    <t>Linen White</t>
  </si>
  <si>
    <t>Taupe</t>
  </si>
  <si>
    <t>Khaki</t>
  </si>
  <si>
    <t>Wheather Copper</t>
  </si>
  <si>
    <t>Mansard Bronze</t>
  </si>
  <si>
    <t>Ash Grey</t>
  </si>
  <si>
    <t>Old Town Grey</t>
  </si>
  <si>
    <t>Old Zinc Grey</t>
  </si>
  <si>
    <t>Slate Grey</t>
  </si>
  <si>
    <t>Aged Copper</t>
  </si>
  <si>
    <t>Classic Green</t>
  </si>
  <si>
    <t>Felt Green</t>
  </si>
  <si>
    <t>Patriot Red</t>
  </si>
  <si>
    <t>River Teal</t>
  </si>
  <si>
    <t>Champgane Metallic</t>
  </si>
  <si>
    <t>Mistique Plus</t>
  </si>
  <si>
    <t>Ocean Blue</t>
  </si>
  <si>
    <t>Galvalume</t>
  </si>
  <si>
    <t>Silver</t>
  </si>
  <si>
    <t>Gold</t>
  </si>
  <si>
    <t>Wine Red</t>
  </si>
  <si>
    <t>Jade</t>
  </si>
  <si>
    <t>Dark Champagne</t>
  </si>
  <si>
    <t>Metallic Bright Silver</t>
  </si>
  <si>
    <t>Brushed Aluminum</t>
  </si>
  <si>
    <t>Hair Line Aluminum</t>
  </si>
  <si>
    <t>Pure White</t>
  </si>
  <si>
    <t>Solid Colors</t>
  </si>
  <si>
    <t>Yellow White</t>
  </si>
  <si>
    <t>Blue White</t>
  </si>
  <si>
    <t>Ivory</t>
  </si>
  <si>
    <t>Light Grey</t>
  </si>
  <si>
    <t>Silver Grey</t>
  </si>
  <si>
    <t>Mouse Grey</t>
  </si>
  <si>
    <t>Dark Grey</t>
  </si>
  <si>
    <t>Ruby Red</t>
  </si>
  <si>
    <t>Pure Orange</t>
  </si>
  <si>
    <t>Signal Blue</t>
  </si>
  <si>
    <t>Emerald Green</t>
  </si>
  <si>
    <t>Pine Green</t>
  </si>
  <si>
    <t>Traffic Red</t>
  </si>
  <si>
    <t>Cream White</t>
  </si>
  <si>
    <t>Horigon Blue</t>
  </si>
  <si>
    <t>Raw Grey</t>
  </si>
  <si>
    <t>Lime Yellow</t>
  </si>
  <si>
    <t>Program White</t>
  </si>
  <si>
    <t>Bright White</t>
  </si>
  <si>
    <t>Classic White</t>
  </si>
  <si>
    <t>Eastman White</t>
  </si>
  <si>
    <t>Matte White</t>
  </si>
  <si>
    <t>Program Pearl</t>
  </si>
  <si>
    <t>Oyser</t>
  </si>
  <si>
    <t>Program Yellow</t>
  </si>
  <si>
    <t>Brite Yellow</t>
  </si>
  <si>
    <t>Program Red</t>
  </si>
  <si>
    <t>Scarlet Red</t>
  </si>
  <si>
    <t>Classic Red</t>
  </si>
  <si>
    <t>Eastman Red</t>
  </si>
  <si>
    <t>Eastman Blue</t>
  </si>
  <si>
    <t>Program Blue</t>
  </si>
  <si>
    <t>Matte Blue</t>
  </si>
  <si>
    <t>Brite Blue</t>
  </si>
  <si>
    <t>Patriot Blue</t>
  </si>
  <si>
    <t>Sapphire Blue</t>
  </si>
  <si>
    <t>Program Teal</t>
  </si>
  <si>
    <t>Bright Green</t>
  </si>
  <si>
    <t>Shamrock Green</t>
  </si>
  <si>
    <t>Program Black</t>
  </si>
  <si>
    <t>Patriot Red / White Stripe</t>
  </si>
  <si>
    <t>Patriot Blue / White Stripe</t>
  </si>
  <si>
    <t>Bright Yellow / White Stripe</t>
  </si>
  <si>
    <t>Program Teal / Yellow Stripe</t>
  </si>
  <si>
    <t>Natural Brushed Aluminum</t>
  </si>
  <si>
    <t>Bright Mirror</t>
  </si>
  <si>
    <t>Colorweld 500 Series One</t>
  </si>
  <si>
    <t>Frisco White</t>
  </si>
  <si>
    <t>Oyser White</t>
  </si>
  <si>
    <t>Castle Grey</t>
  </si>
  <si>
    <t>Pueblo Tan</t>
  </si>
  <si>
    <t>Konig Blue</t>
  </si>
  <si>
    <t>Bright Red</t>
  </si>
  <si>
    <t>Deep Black</t>
  </si>
  <si>
    <t>0.080 IN</t>
  </si>
  <si>
    <t>0.100 IN</t>
  </si>
  <si>
    <t>0.160 IN</t>
  </si>
  <si>
    <t>0.188 IN</t>
  </si>
  <si>
    <t>10 MM</t>
  </si>
  <si>
    <t>11 GA</t>
  </si>
  <si>
    <t>1 MM</t>
  </si>
  <si>
    <t>3 MM</t>
  </si>
  <si>
    <t>6 MM</t>
  </si>
  <si>
    <t>0.375 IN</t>
  </si>
  <si>
    <t>0.250 IN</t>
  </si>
  <si>
    <t>4 MM</t>
  </si>
  <si>
    <t>0.027 IN</t>
  </si>
  <si>
    <t>0.040 IN</t>
  </si>
  <si>
    <t>0.050 IN</t>
  </si>
  <si>
    <t>PO_NUMBER</t>
  </si>
  <si>
    <t>DATE_ORDERED</t>
  </si>
  <si>
    <t>PROJECT</t>
  </si>
  <si>
    <t>JOB_NUMBER</t>
  </si>
  <si>
    <t>QUANTITY</t>
  </si>
  <si>
    <t>UNIT</t>
  </si>
  <si>
    <t>ETA</t>
  </si>
  <si>
    <t>ATA</t>
  </si>
  <si>
    <t>UNIT_COST</t>
  </si>
  <si>
    <t>TOTAL</t>
  </si>
  <si>
    <t>ORDER_BY</t>
  </si>
  <si>
    <t>STOCK_ITEM</t>
  </si>
  <si>
    <t>MATERIAL_ITEM</t>
  </si>
  <si>
    <t>STATUS</t>
  </si>
  <si>
    <t/>
  </si>
  <si>
    <t>551249-BH</t>
  </si>
  <si>
    <t>2015-5-12</t>
  </si>
  <si>
    <t>Shop</t>
  </si>
  <si>
    <t>in</t>
  </si>
  <si>
    <t>EA</t>
  </si>
  <si>
    <t>24 GA Zincalume Weathering Copper 120in x 48in</t>
  </si>
  <si>
    <t xml:space="preserve"> </t>
  </si>
  <si>
    <t>2015-5-21</t>
  </si>
  <si>
    <t>552133-BH</t>
  </si>
  <si>
    <t>Composite</t>
  </si>
  <si>
    <t>Wood</t>
  </si>
  <si>
    <t>ATTN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</si>
</sst>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_(&quot;$&quot;* \(#,##0.00\);_(&quot;$&quot;* &quot;-&quot;??_);_(@_)"/>
    <numFmt numFmtId="43" formatCode="_(* #,##0.00_);_(* \(#,##0.00\);_(* &quot;-&quot;??_);_(@_)"/>
    <numFmt numFmtId="164" formatCode="_(* #,##0_);_(* \(#,##0\);_(* &quot;-&quot;??_);_(@_)"/>
  </numFmts>
  <fonts count="11"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6"/>
      <color theme="1"/>
      <name val="Calibri"/>
      <family val="2"/>
      <scheme val="minor"/>
    </font>
    <font>
      <sz val="6"/>
      <color theme="1"/>
      <name val="Arial"/>
      <family val="2"/>
    </font>
    <font>
      <sz val="9"/>
      <color theme="1"/>
      <name val="Calibri"/>
      <family val="2"/>
      <scheme val="minor"/>
    </font>
    <font>
      <sz val="11"/>
      <color theme="1"/>
      <name val="Calibri"/>
      <family val="2"/>
      <scheme val="minor"/>
    </font>
    <font>
      <b/>
      <sz val="12"/>
      <color rgb="FFFF0000"/>
      <name val="Calibri"/>
      <family val="2"/>
      <scheme val="minor"/>
    </font>
    <font>
      <b/>
      <sz val="20"/>
      <color theme="1"/>
      <name val="Calibri"/>
      <family val="2"/>
      <scheme val="minor"/>
    </font>
    <font>
      <b/>
      <sz val="12"/>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44" fontId="7" fillId="0" borderId="0" applyFont="0" applyFill="0" applyBorder="0" applyAlignment="0" applyProtection="0"/>
    <xf numFmtId="43" fontId="7" fillId="0" borderId="0" applyFont="0" applyFill="0" applyBorder="0" applyAlignment="0" applyProtection="0"/>
  </cellStyleXfs>
  <cellXfs count="60">
    <xf numFmtId="0" fontId="0" fillId="0" borderId="0" xfId="0"/>
    <xf numFmtId="0" fontId="0" fillId="2" borderId="0" xfId="0" applyFill="1"/>
    <xf numFmtId="0" fontId="3" fillId="2" borderId="0" xfId="0" applyFont="1" applyFill="1" applyAlignment="1">
      <alignment vertical="top" wrapText="1"/>
    </xf>
    <xf numFmtId="0" fontId="4" fillId="2" borderId="0" xfId="0" applyFont="1" applyFill="1" applyAlignment="1">
      <alignment horizontal="justify" vertical="top"/>
    </xf>
    <xf numFmtId="0" fontId="0" fillId="2" borderId="0" xfId="0" applyFill="1" applyBorder="1"/>
    <xf numFmtId="0" fontId="0" fillId="2" borderId="0" xfId="0" applyFill="1" applyAlignment="1">
      <alignment horizontal="left"/>
    </xf>
    <xf numFmtId="44" fontId="0" fillId="2" borderId="4" xfId="1" applyFont="1" applyFill="1" applyBorder="1"/>
    <xf numFmtId="0" fontId="0" fillId="2" borderId="0" xfId="0" applyFill="1" applyAlignment="1">
      <alignment horizontal="right"/>
    </xf>
    <xf numFmtId="0" fontId="1" fillId="4" borderId="4" xfId="0" applyFont="1" applyFill="1" applyBorder="1" applyAlignment="1">
      <alignment horizontal="center" wrapText="1"/>
    </xf>
    <xf numFmtId="0" fontId="0" fillId="3" borderId="0" xfId="0" applyFill="1" applyBorder="1"/>
    <xf numFmtId="0" fontId="0" fillId="3" borderId="0" xfId="0" applyFill="1" applyBorder="1" applyAlignment="1">
      <alignment wrapText="1"/>
    </xf>
    <xf numFmtId="44" fontId="0" fillId="3" borderId="4" xfId="1" applyFont="1" applyFill="1" applyBorder="1"/>
    <xf numFmtId="0" fontId="1" fillId="3" borderId="4" xfId="0" applyFont="1" applyFill="1" applyBorder="1" applyAlignment="1">
      <alignment wrapText="1"/>
    </xf>
    <xf numFmtId="0" fontId="2" fillId="2" borderId="3" xfId="0" applyFont="1" applyFill="1" applyBorder="1" applyAlignment="1">
      <alignment horizontal="center" vertical="top"/>
    </xf>
    <xf numFmtId="0" fontId="0" fillId="2" borderId="4" xfId="0" applyFill="1" applyBorder="1" applyAlignment="1">
      <alignment horizontal="center"/>
    </xf>
    <xf numFmtId="0" fontId="0" fillId="3" borderId="4" xfId="0" applyFill="1" applyBorder="1" applyAlignment="1">
      <alignment horizontal="center"/>
    </xf>
    <xf numFmtId="44" fontId="0" fillId="2" borderId="4" xfId="1" applyFont="1" applyFill="1" applyBorder="1" applyAlignment="1">
      <alignment horizontal="right"/>
    </xf>
    <xf numFmtId="44" fontId="0" fillId="3" borderId="4" xfId="1" applyFont="1" applyFill="1" applyBorder="1" applyAlignment="1">
      <alignment horizontal="right"/>
    </xf>
    <xf numFmtId="44" fontId="1" fillId="3" borderId="4" xfId="0" applyNumberFormat="1" applyFont="1" applyFill="1" applyBorder="1" applyAlignment="1">
      <alignment horizontal="right"/>
    </xf>
    <xf numFmtId="0" fontId="1" fillId="2" borderId="0" xfId="0" applyFont="1" applyFill="1" applyAlignment="1">
      <alignment wrapText="1"/>
    </xf>
    <xf numFmtId="164" fontId="0" fillId="2" borderId="4" xfId="2" applyNumberFormat="1" applyFont="1" applyFill="1" applyBorder="1"/>
    <xf numFmtId="164" fontId="0" fillId="3" borderId="4" xfId="2" applyNumberFormat="1" applyFont="1" applyFill="1" applyBorder="1"/>
    <xf numFmtId="2" fontId="0" fillId="2" borderId="4" xfId="2" applyNumberFormat="1" applyFont="1" applyFill="1" applyBorder="1"/>
    <xf numFmtId="2" fontId="0" fillId="3" borderId="4" xfId="2" applyNumberFormat="1" applyFont="1" applyFill="1" applyBorder="1"/>
    <xf numFmtId="2" fontId="0" fillId="2" borderId="4" xfId="1" applyNumberFormat="1" applyFont="1" applyFill="1" applyBorder="1"/>
    <xf numFmtId="2" fontId="0" fillId="3" borderId="4" xfId="1" applyNumberFormat="1" applyFont="1" applyFill="1" applyBorder="1"/>
    <xf numFmtId="0" fontId="0" fillId="2" borderId="8" xfId="0" applyFill="1" applyBorder="1"/>
    <xf numFmtId="0" fontId="0" fillId="2" borderId="9" xfId="0" applyFill="1" applyBorder="1"/>
    <xf numFmtId="0" fontId="0" fillId="2" borderId="7" xfId="0" applyFill="1" applyBorder="1"/>
    <xf numFmtId="0" fontId="2" fillId="2" borderId="3" xfId="0" applyFont="1" applyFill="1" applyBorder="1" applyAlignment="1">
      <alignment horizontal="left"/>
    </xf>
    <xf numFmtId="0" fontId="6" fillId="2" borderId="1" xfId="0" applyFont="1" applyFill="1" applyBorder="1" applyAlignment="1">
      <alignment horizontal="left"/>
    </xf>
    <xf numFmtId="0" fontId="1" fillId="2" borderId="0" xfId="0" applyFont="1" applyFill="1" applyBorder="1"/>
    <xf numFmtId="0" fontId="8" fillId="2" borderId="0" xfId="0" applyFont="1" applyFill="1" applyBorder="1"/>
    <xf numFmtId="0" fontId="0" fillId="3" borderId="0" xfId="0" applyFill="1" applyBorder="1" applyAlignment="1">
      <alignment horizontal="left" wrapText="1"/>
    </xf>
    <xf numFmtId="0" fontId="5" fillId="2" borderId="0" xfId="0" applyFont="1" applyFill="1" applyAlignment="1">
      <alignment horizontal="justify" vertical="top" wrapText="1"/>
    </xf>
    <xf numFmtId="0" fontId="10" fillId="2" borderId="0" xfId="0" applyFont="1" applyFill="1" applyBorder="1"/>
    <xf numFmtId="0" fontId="1" fillId="2" borderId="0" xfId="0" applyFont="1" applyFill="1" applyAlignment="1">
      <alignment horizontal="center" vertical="top" wrapText="1"/>
    </xf>
    <xf numFmtId="0" fontId="5" fillId="2" borderId="0" xfId="0" applyFont="1" applyFill="1" applyAlignment="1">
      <alignment horizontal="justify" vertical="top" wrapText="1"/>
    </xf>
    <xf numFmtId="0" fontId="0" fillId="2" borderId="5" xfId="0" applyFill="1" applyBorder="1" applyAlignment="1">
      <alignment wrapText="1"/>
    </xf>
    <xf numFmtId="0" fontId="0" fillId="2" borderId="2" xfId="0" applyFill="1" applyBorder="1" applyAlignment="1">
      <alignment wrapText="1"/>
    </xf>
    <xf numFmtId="0" fontId="0" fillId="2" borderId="6" xfId="0" applyFill="1" applyBorder="1" applyAlignment="1">
      <alignment wrapText="1"/>
    </xf>
    <xf numFmtId="44" fontId="0" fillId="3" borderId="5" xfId="0" applyNumberFormat="1" applyFill="1" applyBorder="1" applyAlignment="1"/>
    <xf numFmtId="0" fontId="0" fillId="3" borderId="2" xfId="0" applyFill="1" applyBorder="1" applyAlignment="1"/>
    <xf numFmtId="0" fontId="0" fillId="3" borderId="6" xfId="0" applyFill="1" applyBorder="1" applyAlignment="1"/>
    <xf numFmtId="49" fontId="0" fillId="3" borderId="1" xfId="0" applyNumberFormat="1" applyFill="1" applyBorder="1" applyAlignment="1">
      <alignment horizontal="left"/>
    </xf>
    <xf numFmtId="0" fontId="6" fillId="2" borderId="0" xfId="0" applyFont="1" applyFill="1" applyAlignment="1">
      <alignment horizontal="center" wrapText="1"/>
    </xf>
    <xf numFmtId="0" fontId="0" fillId="3" borderId="5" xfId="0" applyFill="1" applyBorder="1" applyAlignment="1"/>
    <xf numFmtId="0" fontId="1" fillId="4" borderId="5" xfId="0" applyFont="1" applyFill="1" applyBorder="1" applyAlignment="1">
      <alignment horizontal="center" wrapText="1"/>
    </xf>
    <xf numFmtId="0" fontId="1" fillId="4" borderId="2" xfId="0" applyFont="1" applyFill="1" applyBorder="1" applyAlignment="1">
      <alignment horizontal="center" wrapText="1"/>
    </xf>
    <xf numFmtId="0" fontId="1" fillId="4" borderId="6" xfId="0" applyFont="1" applyFill="1" applyBorder="1" applyAlignment="1">
      <alignment horizontal="center" wrapText="1"/>
    </xf>
    <xf numFmtId="44" fontId="0" fillId="2" borderId="5" xfId="0" applyNumberFormat="1" applyFill="1" applyBorder="1" applyAlignment="1">
      <alignment wrapText="1"/>
    </xf>
    <xf numFmtId="0" fontId="0" fillId="2" borderId="1" xfId="0" applyFill="1" applyBorder="1" applyAlignment="1">
      <alignment horizontal="left"/>
    </xf>
    <xf numFmtId="0" fontId="0" fillId="3" borderId="0" xfId="0" applyFill="1" applyBorder="1" applyAlignment="1">
      <alignment horizontal="left" wrapText="1"/>
    </xf>
    <xf numFmtId="0" fontId="0" fillId="3" borderId="1" xfId="0" applyFill="1" applyBorder="1" applyAlignment="1">
      <alignment horizontal="left"/>
    </xf>
    <xf numFmtId="0" fontId="1" fillId="3" borderId="1" xfId="0" applyFont="1" applyFill="1" applyBorder="1" applyAlignment="1">
      <alignment horizontal="left"/>
    </xf>
    <xf numFmtId="0" fontId="9" fillId="2" borderId="0" xfId="0" applyFont="1" applyFill="1" applyAlignment="1">
      <alignment horizontal="left" vertical="center"/>
    </xf>
    <xf numFmtId="0" fontId="1" fillId="2" borderId="0" xfId="0" applyFont="1" applyFill="1" applyAlignment="1">
      <alignment horizontal="center" wrapText="1"/>
    </xf>
    <xf numFmtId="0" fontId="0" fillId="2" borderId="5" xfId="0" applyFill="1" applyBorder="1" applyAlignment="1">
      <alignment horizontal="left" vertical="top"/>
    </xf>
    <xf numFmtId="0" fontId="0" fillId="2" borderId="2" xfId="0" applyFill="1" applyBorder="1" applyAlignment="1">
      <alignment horizontal="left" vertical="top"/>
    </xf>
    <xf numFmtId="0" fontId="0" fillId="2" borderId="6" xfId="0" applyFill="1" applyBorder="1" applyAlignment="1">
      <alignment horizontal="left" vertical="top"/>
    </xf>
  </cellXfs>
  <cellStyles count="3">
    <cellStyle name="Comma" xfId="2" builtinId="3"/>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7</xdr:row>
          <xdr:rowOff>66675</xdr:rowOff>
        </xdr:from>
        <xdr:to>
          <xdr:col>4</xdr:col>
          <xdr:colOff>0</xdr:colOff>
          <xdr:row>8</xdr:row>
          <xdr:rowOff>161925</xdr:rowOff>
        </xdr:to>
        <xdr:sp macro="" textlink="">
          <xdr:nvSpPr>
            <xdr:cNvPr id="1025" name="PONumberBt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3</xdr:row>
          <xdr:rowOff>85725</xdr:rowOff>
        </xdr:from>
        <xdr:to>
          <xdr:col>11</xdr:col>
          <xdr:colOff>1038225</xdr:colOff>
          <xdr:row>5</xdr:row>
          <xdr:rowOff>161925</xdr:rowOff>
        </xdr:to>
        <xdr:sp macro="" textlink="">
          <xdr:nvSpPr>
            <xdr:cNvPr id="1028" name="ClearBtn" hidden="1">
              <a:extLst>
                <a:ext uri="{63B3BB69-23CF-44E3-9099-C40C66FF867C}">
                  <a14:compatExt spid="_x0000_s102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95250</xdr:rowOff>
        </xdr:from>
        <xdr:to>
          <xdr:col>11</xdr:col>
          <xdr:colOff>1047750</xdr:colOff>
          <xdr:row>3</xdr:row>
          <xdr:rowOff>38100</xdr:rowOff>
        </xdr:to>
        <xdr:sp macro="" textlink="">
          <xdr:nvSpPr>
            <xdr:cNvPr id="1035" name="CommandButton1" hidden="1">
              <a:extLst>
                <a:ext uri="{63B3BB69-23CF-44E3-9099-C40C66FF867C}">
                  <a14:compatExt spid="_x0000_s103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0</xdr:rowOff>
        </xdr:from>
        <xdr:to>
          <xdr:col>11</xdr:col>
          <xdr:colOff>666750</xdr:colOff>
          <xdr:row>17</xdr:row>
          <xdr:rowOff>9525</xdr:rowOff>
        </xdr:to>
        <xdr:sp macro="" textlink="">
          <xdr:nvSpPr>
            <xdr:cNvPr id="1044" name="des1btn" hidden="1">
              <a:extLst>
                <a:ext uri="{63B3BB69-23CF-44E3-9099-C40C66FF867C}">
                  <a14:compatExt spid="_x0000_s10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7</xdr:row>
          <xdr:rowOff>47625</xdr:rowOff>
        </xdr:from>
        <xdr:to>
          <xdr:col>9</xdr:col>
          <xdr:colOff>0</xdr:colOff>
          <xdr:row>8</xdr:row>
          <xdr:rowOff>161925</xdr:rowOff>
        </xdr:to>
        <xdr:sp macro="" textlink="">
          <xdr:nvSpPr>
            <xdr:cNvPr id="1057" name="CommandButton13" hidden="1">
              <a:extLst>
                <a:ext uri="{63B3BB69-23CF-44E3-9099-C40C66FF867C}">
                  <a14:compatExt spid="_x0000_s10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13</xdr:row>
          <xdr:rowOff>19050</xdr:rowOff>
        </xdr:from>
        <xdr:to>
          <xdr:col>4</xdr:col>
          <xdr:colOff>9525</xdr:colOff>
          <xdr:row>14</xdr:row>
          <xdr:rowOff>85725</xdr:rowOff>
        </xdr:to>
        <xdr:sp macro="" textlink="">
          <xdr:nvSpPr>
            <xdr:cNvPr id="1064" name="CommandButton17" hidden="1">
              <a:extLst>
                <a:ext uri="{63B3BB69-23CF-44E3-9099-C40C66FF867C}">
                  <a14:compatExt spid="_x0000_s106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628650</xdr:colOff>
          <xdr:row>4</xdr:row>
          <xdr:rowOff>66675</xdr:rowOff>
        </xdr:from>
        <xdr:to>
          <xdr:col>9</xdr:col>
          <xdr:colOff>9525</xdr:colOff>
          <xdr:row>5</xdr:row>
          <xdr:rowOff>171450</xdr:rowOff>
        </xdr:to>
        <xdr:sp macro="" textlink="">
          <xdr:nvSpPr>
            <xdr:cNvPr id="1065" name="ComboBox_Vendor" hidden="1">
              <a:extLst>
                <a:ext uri="{63B3BB69-23CF-44E3-9099-C40C66FF867C}">
                  <a14:compatExt spid="_x0000_s106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962025</xdr:colOff>
          <xdr:row>13</xdr:row>
          <xdr:rowOff>9525</xdr:rowOff>
        </xdr:from>
        <xdr:to>
          <xdr:col>3</xdr:col>
          <xdr:colOff>266700</xdr:colOff>
          <xdr:row>14</xdr:row>
          <xdr:rowOff>76200</xdr:rowOff>
        </xdr:to>
        <xdr:sp macro="" textlink="">
          <xdr:nvSpPr>
            <xdr:cNvPr id="1068" name="CommandButton2" hidden="1">
              <a:extLst>
                <a:ext uri="{63B3BB69-23CF-44E3-9099-C40C66FF867C}">
                  <a14:compatExt spid="_x0000_s10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6</xdr:row>
          <xdr:rowOff>47625</xdr:rowOff>
        </xdr:from>
        <xdr:to>
          <xdr:col>11</xdr:col>
          <xdr:colOff>1038225</xdr:colOff>
          <xdr:row>8</xdr:row>
          <xdr:rowOff>142875</xdr:rowOff>
        </xdr:to>
        <xdr:sp macro="" textlink="">
          <xdr:nvSpPr>
            <xdr:cNvPr id="1070" name="CommandButton3" hidden="1">
              <a:extLst>
                <a:ext uri="{63B3BB69-23CF-44E3-9099-C40C66FF867C}">
                  <a14:compatExt spid="_x0000_s10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11</xdr:row>
          <xdr:rowOff>57150</xdr:rowOff>
        </xdr:from>
        <xdr:to>
          <xdr:col>4</xdr:col>
          <xdr:colOff>19050</xdr:colOff>
          <xdr:row>12</xdr:row>
          <xdr:rowOff>123825</xdr:rowOff>
        </xdr:to>
        <xdr:sp macro="" textlink="">
          <xdr:nvSpPr>
            <xdr:cNvPr id="1071" name="CommandButton4" hidden="1">
              <a:extLst>
                <a:ext uri="{63B3BB69-23CF-44E3-9099-C40C66FF867C}">
                  <a14:compatExt spid="_x0000_s10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xdr:row>
          <xdr:rowOff>76200</xdr:rowOff>
        </xdr:from>
        <xdr:to>
          <xdr:col>12</xdr:col>
          <xdr:colOff>971550</xdr:colOff>
          <xdr:row>5</xdr:row>
          <xdr:rowOff>123825</xdr:rowOff>
        </xdr:to>
        <xdr:sp macro="" textlink="">
          <xdr:nvSpPr>
            <xdr:cNvPr id="1072" name="CommandButton5"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NssmInventory_1" refreshOnLoad="1" connectionId="7" autoFormatId="16" applyNumberFormats="0" applyBorderFormats="0" applyFontFormats="0" applyPatternFormats="0" applyAlignmentFormats="0" applyWidthHeightFormats="0">
  <queryTableRefresh nextId="13">
    <queryTableFields count="11">
      <queryTableField id="1" name="ID" tableColumnId="1"/>
      <queryTableField id="3" name="VENDOR" tableColumnId="3"/>
      <queryTableField id="4" name="ADDRESS1" tableColumnId="2"/>
      <queryTableField id="5" name="ADDRESS2" tableColumnId="4"/>
      <queryTableField id="6" name="STATE" tableColumnId="5"/>
      <queryTableField id="7" name="CITY" tableColumnId="6"/>
      <queryTableField id="8" name="ZIP" tableColumnId="7"/>
      <queryTableField id="9" name="WEB" tableColumnId="8"/>
      <queryTableField id="10" name="PHONE" tableColumnId="9"/>
      <queryTableField id="11" name="FAX" tableColumnId="10"/>
      <queryTableField id="12" name="COUNTRY" tableColumnId="11"/>
    </queryTableFields>
  </queryTableRefresh>
</queryTable>
</file>

<file path=xl/queryTables/queryTable2.xml><?xml version="1.0" encoding="utf-8"?>
<queryTable xmlns="http://schemas.openxmlformats.org/spreadsheetml/2006/main" name="NssmInventory" refreshOnLoad="1" connectionId="4" autoFormatId="16" applyNumberFormats="0" applyBorderFormats="0" applyFontFormats="0" applyPatternFormats="0" applyAlignmentFormats="0" applyWidthHeightFormats="0">
  <queryTableRefresh nextId="3">
    <queryTableFields count="2">
      <queryTableField id="1" name="ID" tableColumnId="1"/>
      <queryTableField id="2" name="MATERIAL_TYPE" tableColumnId="2"/>
    </queryTableFields>
  </queryTableRefresh>
</queryTable>
</file>

<file path=xl/queryTables/queryTable3.xml><?xml version="1.0" encoding="utf-8"?>
<queryTable xmlns="http://schemas.openxmlformats.org/spreadsheetml/2006/main" name="NssmInventory" refreshOnLoad="1" connectionId="1" autoFormatId="16" applyNumberFormats="0" applyBorderFormats="0" applyFontFormats="0" applyPatternFormats="0" applyAlignmentFormats="0" applyWidthHeightFormats="0">
  <queryTableRefresh nextId="6">
    <queryTableFields count="4">
      <queryTableField id="1" name="ID" tableColumnId="1"/>
      <queryTableField id="2" name="COLOR" tableColumnId="2"/>
      <queryTableField id="3" name="VENDOR" tableColumnId="3"/>
      <queryTableField id="5" name="TYPE" tableColumnId="4"/>
    </queryTableFields>
  </queryTableRefresh>
</queryTable>
</file>

<file path=xl/queryTables/queryTable4.xml><?xml version="1.0" encoding="utf-8"?>
<queryTable xmlns="http://schemas.openxmlformats.org/spreadsheetml/2006/main" name="NssmInventory" refreshOnLoad="1" connectionId="6" autoFormatId="16" applyNumberFormats="0" applyBorderFormats="0" applyFontFormats="0" applyPatternFormats="0" applyAlignmentFormats="0" applyWidthHeightFormats="0">
  <queryTableRefresh nextId="4">
    <queryTableFields count="2">
      <queryTableField id="1" name="ID" tableColumnId="1"/>
      <queryTableField id="2" name="THICKNESS" tableColumnId="2"/>
    </queryTableFields>
  </queryTableRefresh>
</queryTable>
</file>

<file path=xl/queryTables/queryTable5.xml><?xml version="1.0" encoding="utf-8"?>
<queryTable xmlns="http://schemas.openxmlformats.org/spreadsheetml/2006/main" name="NssmInventory" refreshOnLoad="1" connectionId="8" autoFormatId="16" applyNumberFormats="0" applyBorderFormats="0" applyFontFormats="0" applyPatternFormats="0" applyAlignmentFormats="0" applyWidthHeightFormats="0">
  <queryTableRefresh nextId="24">
    <queryTableFields count="23">
      <queryTableField id="1" name="PO_NUMBER" tableColumnId="1"/>
      <queryTableField id="2" name="DATE_ORDERED" tableColumnId="2"/>
      <queryTableField id="3" name="PROJECT" tableColumnId="3"/>
      <queryTableField id="4" name="JOB_NUMBER" tableColumnId="4"/>
      <queryTableField id="5" name="VENDOR" tableColumnId="5"/>
      <queryTableField id="6" name="GAUGE" tableColumnId="6"/>
      <queryTableField id="7" name="DESCRIPTION" tableColumnId="7"/>
      <queryTableField id="8" name="MATERIAL" tableColumnId="8"/>
      <queryTableField id="9" name="QUANTITY" tableColumnId="9"/>
      <queryTableField id="10" name="UNIT" tableColumnId="10"/>
      <queryTableField id="11" name="ETA" tableColumnId="11"/>
      <queryTableField id="12" name="ATA" tableColumnId="12"/>
      <queryTableField id="13" name="UNIT_COST" tableColumnId="13"/>
      <queryTableField id="14" name="TOTAL" tableColumnId="14"/>
      <queryTableField id="15" name="COLOR" tableColumnId="15"/>
      <queryTableField id="16" name="ORDER_BY" tableColumnId="16"/>
      <queryTableField id="17" name="STOCK_ITEM" tableColumnId="17"/>
      <queryTableField id="18" name="MATERIAL_ITEM" tableColumnId="18"/>
      <queryTableField id="19" name="WIDTH" tableColumnId="19"/>
      <queryTableField id="20" name="HEIGHT" tableColumnId="20"/>
      <queryTableField id="21" name="UNITS" tableColumnId="21"/>
      <queryTableField id="22" name="STATUS" tableColumnId="22"/>
      <queryTableField id="23" name="ATTN"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id="6" name="Table_NssmInventory_1" displayName="Table_NssmInventory_1" ref="A1:K57" tableType="queryTable" totalsRowShown="0">
  <autoFilter ref="A1:K57"/>
  <tableColumns count="11">
    <tableColumn id="1" uniqueName="1" name="ID" queryTableFieldId="1"/>
    <tableColumn id="3" uniqueName="3" name="VENDOR" queryTableFieldId="3"/>
    <tableColumn id="2" uniqueName="2" name="ADDRESS1" queryTableFieldId="4"/>
    <tableColumn id="4" uniqueName="4" name="ADDRESS2" queryTableFieldId="5"/>
    <tableColumn id="5" uniqueName="5" name="STATE" queryTableFieldId="6"/>
    <tableColumn id="6" uniqueName="6" name="CITY" queryTableFieldId="7"/>
    <tableColumn id="7" uniqueName="7" name="ZIP" queryTableFieldId="8"/>
    <tableColumn id="8" uniqueName="8" name="WEB" queryTableFieldId="9"/>
    <tableColumn id="9" uniqueName="9" name="PHONE" queryTableFieldId="10"/>
    <tableColumn id="10" uniqueName="10" name="FAX" queryTableFieldId="11"/>
    <tableColumn id="11" uniqueName="11" name="COUNTRY" queryTableFieldId="12"/>
  </tableColumns>
  <tableStyleInfo name="TableStyleMedium2" showFirstColumn="0" showLastColumn="0" showRowStripes="1" showColumnStripes="0"/>
</table>
</file>

<file path=xl/tables/table2.xml><?xml version="1.0" encoding="utf-8"?>
<table xmlns="http://schemas.openxmlformats.org/spreadsheetml/2006/main" id="5" name="Table_NssmInventory6" displayName="Table_NssmInventory6" ref="A1:B8" tableType="queryTable" totalsRowShown="0">
  <autoFilter ref="A1:B8"/>
  <tableColumns count="2">
    <tableColumn id="1" uniqueName="1" name="ID" queryTableFieldId="1"/>
    <tableColumn id="2" uniqueName="2" name="MATERIAL_TYPE" queryTableFieldId="2"/>
  </tableColumns>
  <tableStyleInfo name="TableStyleMedium2" showFirstColumn="0" showLastColumn="0" showRowStripes="1" showColumnStripes="0"/>
</table>
</file>

<file path=xl/tables/table3.xml><?xml version="1.0" encoding="utf-8"?>
<table xmlns="http://schemas.openxmlformats.org/spreadsheetml/2006/main" id="7" name="Table_NssmInventory" displayName="Table_NssmInventory" ref="A1:D327" tableType="queryTable" totalsRowShown="0">
  <autoFilter ref="A1:D327"/>
  <tableColumns count="4">
    <tableColumn id="1" uniqueName="1" name="ID" queryTableFieldId="1"/>
    <tableColumn id="2" uniqueName="2" name="COLOR" queryTableFieldId="2"/>
    <tableColumn id="3" uniqueName="3" name="VENDOR" queryTableFieldId="3"/>
    <tableColumn id="4" uniqueName="4" name="TYPE" queryTableFieldId="5"/>
  </tableColumns>
  <tableStyleInfo name="TableStyleMedium2" showFirstColumn="0" showLastColumn="0" showRowStripes="1" showColumnStripes="0"/>
</table>
</file>

<file path=xl/tables/table4.xml><?xml version="1.0" encoding="utf-8"?>
<table xmlns="http://schemas.openxmlformats.org/spreadsheetml/2006/main" id="1" name="Table_NssmInventory2" displayName="Table_NssmInventory2" ref="A1:B34" tableType="queryTable" totalsRowShown="0">
  <autoFilter ref="A1:B34"/>
  <tableColumns count="2">
    <tableColumn id="1" uniqueName="1" name="ID" queryTableFieldId="1"/>
    <tableColumn id="2" uniqueName="2" name="THICKNESS" queryTableFieldId="2"/>
  </tableColumns>
  <tableStyleInfo name="TableStyleMedium2" showFirstColumn="0" showLastColumn="0" showRowStripes="1" showColumnStripes="0"/>
</table>
</file>

<file path=xl/tables/table5.xml><?xml version="1.0" encoding="utf-8"?>
<table xmlns="http://schemas.openxmlformats.org/spreadsheetml/2006/main" id="2" name="Table_NssmInventory3" displayName="Table_NssmInventory3" ref="A1:W2" tableType="queryTable" totalsRowShown="0">
  <autoFilter ref="A1:W2"/>
  <tableColumns count="23">
    <tableColumn id="1" uniqueName="1" name="PO_NUMBER" queryTableFieldId="1"/>
    <tableColumn id="2" uniqueName="2" name="DATE_ORDERED" queryTableFieldId="2"/>
    <tableColumn id="3" uniqueName="3" name="PROJECT" queryTableFieldId="3"/>
    <tableColumn id="4" uniqueName="4" name="JOB_NUMBER" queryTableFieldId="4"/>
    <tableColumn id="5" uniqueName="5" name="VENDOR" queryTableFieldId="5"/>
    <tableColumn id="6" uniqueName="6" name="GAUGE" queryTableFieldId="6"/>
    <tableColumn id="7" uniqueName="7" name="DESCRIPTION" queryTableFieldId="7"/>
    <tableColumn id="8" uniqueName="8" name="MATERIAL" queryTableFieldId="8"/>
    <tableColumn id="9" uniqueName="9" name="QUANTITY" queryTableFieldId="9"/>
    <tableColumn id="10" uniqueName="10" name="UNIT" queryTableFieldId="10"/>
    <tableColumn id="11" uniqueName="11" name="ETA" queryTableFieldId="11"/>
    <tableColumn id="12" uniqueName="12" name="ATA" queryTableFieldId="12"/>
    <tableColumn id="13" uniqueName="13" name="UNIT_COST" queryTableFieldId="13"/>
    <tableColumn id="14" uniqueName="14" name="TOTAL" queryTableFieldId="14"/>
    <tableColumn id="15" uniqueName="15" name="COLOR" queryTableFieldId="15"/>
    <tableColumn id="16" uniqueName="16" name="ORDER_BY" queryTableFieldId="16"/>
    <tableColumn id="17" uniqueName="17" name="STOCK_ITEM" queryTableFieldId="17"/>
    <tableColumn id="18" uniqueName="18" name="MATERIAL_ITEM" queryTableFieldId="18"/>
    <tableColumn id="19" uniqueName="19" name="WIDTH" queryTableFieldId="19"/>
    <tableColumn id="20" uniqueName="20" name="HEIGHT" queryTableFieldId="20"/>
    <tableColumn id="21" uniqueName="21" name="UNITS" queryTableFieldId="21"/>
    <tableColumn id="22" uniqueName="22" name="STATUS" queryTableFieldId="22"/>
    <tableColumn id="23" uniqueName="23" name="ATTN" queryTableField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O87"/>
  <sheetViews>
    <sheetView tabSelected="1" topLeftCell="A4" zoomScaleNormal="100" workbookViewId="0">
      <selection activeCell="I28" sqref="H27:I28"/>
    </sheetView>
  </sheetViews>
  <sheetFormatPr defaultRowHeight="15" x14ac:dyDescent="0.25"/>
  <cols>
    <col min="1" max="1" width="2.85546875" style="1" customWidth="1"/>
    <col min="2" max="2" width="12.140625" style="1" customWidth="1"/>
    <col min="3" max="3" width="17.85546875" style="1" customWidth="1"/>
    <col min="4" max="4" width="12" style="1" customWidth="1"/>
    <col min="5" max="5" width="2.7109375" style="1" customWidth="1"/>
    <col min="6" max="6" width="9.28515625" style="1" customWidth="1"/>
    <col min="7" max="7" width="8.5703125" style="1" customWidth="1"/>
    <col min="8" max="8" width="13.140625" style="1" customWidth="1"/>
    <col min="9" max="9" width="13" style="1" customWidth="1"/>
    <col min="10" max="10" width="1.85546875" style="1" customWidth="1"/>
    <col min="11" max="11" width="1.7109375" style="1" customWidth="1"/>
    <col min="12" max="12" width="20.28515625" style="1" bestFit="1" customWidth="1"/>
    <col min="13" max="14" width="20.7109375" style="1" customWidth="1"/>
    <col min="15" max="15" width="8" style="1" customWidth="1"/>
    <col min="16" max="16" width="11.7109375" style="1" customWidth="1"/>
    <col min="17" max="17" width="13.7109375" style="1" customWidth="1"/>
    <col min="18" max="18" width="8" style="1" customWidth="1"/>
    <col min="19" max="19" width="9" style="1" customWidth="1"/>
    <col min="20" max="20" width="6.42578125" style="1" customWidth="1"/>
    <col min="21" max="21" width="40.28515625" style="1" customWidth="1"/>
    <col min="22" max="24" width="13.140625" style="1" customWidth="1"/>
    <col min="25" max="59" width="9.140625" style="1" customWidth="1"/>
    <col min="60" max="61" width="20.7109375" style="1" customWidth="1"/>
    <col min="62" max="62" width="9.140625" style="1"/>
    <col min="63" max="63" width="10" style="1" bestFit="1" customWidth="1"/>
    <col min="64" max="64" width="15" style="1" bestFit="1" customWidth="1"/>
    <col min="65" max="16384" width="9.140625" style="1"/>
  </cols>
  <sheetData>
    <row r="1" spans="2:67" ht="15" customHeight="1" x14ac:dyDescent="0.25">
      <c r="K1" s="2"/>
      <c r="L1" s="2"/>
      <c r="M1" s="2"/>
      <c r="N1" s="2"/>
      <c r="V1" s="28" t="s">
        <v>45</v>
      </c>
      <c r="W1" s="26" t="s">
        <v>33</v>
      </c>
      <c r="X1" s="1" t="s">
        <v>146</v>
      </c>
    </row>
    <row r="2" spans="2:67" ht="12.75" customHeight="1" x14ac:dyDescent="0.25">
      <c r="K2" s="2"/>
      <c r="L2" s="2"/>
      <c r="M2" s="31" t="s">
        <v>35</v>
      </c>
      <c r="N2" s="2"/>
      <c r="V2" s="4" t="s">
        <v>46</v>
      </c>
      <c r="W2" s="26" t="s">
        <v>30</v>
      </c>
      <c r="X2" s="1" t="s">
        <v>147</v>
      </c>
      <c r="AK2" s="37" t="s">
        <v>13</v>
      </c>
      <c r="AL2" s="37"/>
      <c r="AM2" s="37"/>
      <c r="AN2" s="37"/>
      <c r="AO2" s="37"/>
      <c r="AP2" s="37"/>
      <c r="AQ2" s="37"/>
      <c r="AR2" s="37"/>
      <c r="AS2" s="37"/>
      <c r="AT2" s="37"/>
      <c r="AU2" s="37"/>
      <c r="AW2" s="37" t="s">
        <v>124</v>
      </c>
      <c r="AX2" s="37"/>
      <c r="AY2" s="37"/>
      <c r="AZ2" s="37"/>
      <c r="BA2" s="37"/>
      <c r="BB2" s="37"/>
      <c r="BC2" s="37"/>
      <c r="BD2" s="37"/>
      <c r="BE2" s="37"/>
      <c r="BF2" s="37"/>
      <c r="BG2" s="37"/>
    </row>
    <row r="3" spans="2:67" ht="12.75" customHeight="1" x14ac:dyDescent="0.25">
      <c r="K3" s="2"/>
      <c r="L3" s="2"/>
      <c r="M3" s="32" t="str">
        <f>IF(PONUM="","Purchase Order Number Must Be Provided","")</f>
        <v/>
      </c>
      <c r="N3" s="2"/>
      <c r="V3" s="1" t="s">
        <v>47</v>
      </c>
      <c r="W3" s="26" t="s">
        <v>41</v>
      </c>
      <c r="X3" s="1" t="s">
        <v>148</v>
      </c>
      <c r="AK3" s="37"/>
      <c r="AL3" s="37"/>
      <c r="AM3" s="37"/>
      <c r="AN3" s="37"/>
      <c r="AO3" s="37"/>
      <c r="AP3" s="37"/>
      <c r="AQ3" s="37"/>
      <c r="AR3" s="37"/>
      <c r="AS3" s="37"/>
      <c r="AT3" s="37"/>
      <c r="AU3" s="37"/>
      <c r="AW3" s="37"/>
      <c r="AX3" s="37"/>
      <c r="AY3" s="37"/>
      <c r="AZ3" s="37"/>
      <c r="BA3" s="37"/>
      <c r="BB3" s="37"/>
      <c r="BC3" s="37"/>
      <c r="BD3" s="37"/>
      <c r="BE3" s="37"/>
      <c r="BF3" s="37"/>
      <c r="BG3" s="37"/>
    </row>
    <row r="4" spans="2:67" ht="15" customHeight="1" x14ac:dyDescent="0.25">
      <c r="K4" s="3"/>
      <c r="L4" s="3"/>
      <c r="M4" s="32" t="str">
        <f>IF(ORDER_BY="","Name Must Be Provided","")</f>
        <v/>
      </c>
      <c r="N4" s="3"/>
      <c r="V4" s="1" t="s">
        <v>150</v>
      </c>
      <c r="W4" s="26" t="s">
        <v>26</v>
      </c>
      <c r="AK4" s="37"/>
      <c r="AL4" s="37"/>
      <c r="AM4" s="37"/>
      <c r="AN4" s="37"/>
      <c r="AO4" s="37"/>
      <c r="AP4" s="37"/>
      <c r="AQ4" s="37"/>
      <c r="AR4" s="37"/>
      <c r="AS4" s="37"/>
      <c r="AT4" s="37"/>
      <c r="AU4" s="37"/>
      <c r="AW4" s="37"/>
      <c r="AX4" s="37"/>
      <c r="AY4" s="37"/>
      <c r="AZ4" s="37"/>
      <c r="BA4" s="37"/>
      <c r="BB4" s="37"/>
      <c r="BC4" s="37"/>
      <c r="BD4" s="37"/>
      <c r="BE4" s="37"/>
      <c r="BF4" s="37"/>
      <c r="BG4" s="37"/>
    </row>
    <row r="5" spans="2:67" ht="15" customHeight="1" x14ac:dyDescent="0.25">
      <c r="B5" s="55" t="s">
        <v>46</v>
      </c>
      <c r="C5" s="55"/>
      <c r="D5" s="55"/>
      <c r="K5" s="3"/>
      <c r="L5" s="3"/>
      <c r="M5" s="32" t="str">
        <f>IF(PROJECTNUMBER="","Project Number Must Be Provided","")</f>
        <v/>
      </c>
      <c r="N5" s="3"/>
      <c r="W5" s="26" t="s">
        <v>43</v>
      </c>
      <c r="AK5" s="37"/>
      <c r="AL5" s="37"/>
      <c r="AM5" s="37"/>
      <c r="AN5" s="37"/>
      <c r="AO5" s="37"/>
      <c r="AP5" s="37"/>
      <c r="AQ5" s="37"/>
      <c r="AR5" s="37"/>
      <c r="AS5" s="37"/>
      <c r="AT5" s="37"/>
      <c r="AU5" s="37"/>
      <c r="AW5" s="37"/>
      <c r="AX5" s="37"/>
      <c r="AY5" s="37"/>
      <c r="AZ5" s="37"/>
      <c r="BA5" s="37"/>
      <c r="BB5" s="37"/>
      <c r="BC5" s="37"/>
      <c r="BD5" s="37"/>
      <c r="BE5" s="37"/>
      <c r="BF5" s="37"/>
      <c r="BG5" s="37"/>
    </row>
    <row r="6" spans="2:67" ht="14.25" customHeight="1" x14ac:dyDescent="0.25">
      <c r="B6" s="55"/>
      <c r="C6" s="55"/>
      <c r="D6" s="55"/>
      <c r="F6" s="9" t="s">
        <v>53</v>
      </c>
      <c r="G6" s="53"/>
      <c r="H6" s="53"/>
      <c r="I6" s="53"/>
      <c r="K6" s="3"/>
      <c r="L6" s="3"/>
      <c r="M6" s="32" t="str">
        <f>IF(DATE="","Date Must Be Provided","")</f>
        <v/>
      </c>
      <c r="N6" s="3"/>
      <c r="W6" s="26" t="s">
        <v>40</v>
      </c>
      <c r="AK6" s="37"/>
      <c r="AL6" s="37"/>
      <c r="AM6" s="37"/>
      <c r="AN6" s="37"/>
      <c r="AO6" s="37"/>
      <c r="AP6" s="37"/>
      <c r="AQ6" s="37"/>
      <c r="AR6" s="37"/>
      <c r="AS6" s="37"/>
      <c r="AT6" s="37"/>
      <c r="AU6" s="37"/>
      <c r="AW6" s="37"/>
      <c r="AX6" s="37"/>
      <c r="AY6" s="37"/>
      <c r="AZ6" s="37"/>
      <c r="BA6" s="37"/>
      <c r="BB6" s="37"/>
      <c r="BC6" s="37"/>
      <c r="BD6" s="37"/>
      <c r="BE6" s="37"/>
      <c r="BF6" s="37"/>
      <c r="BG6" s="37"/>
    </row>
    <row r="7" spans="2:67" ht="14.25" customHeight="1" x14ac:dyDescent="0.25">
      <c r="F7" s="9" t="s">
        <v>0</v>
      </c>
      <c r="G7" s="53"/>
      <c r="H7" s="53"/>
      <c r="I7" s="53"/>
      <c r="K7" s="3"/>
      <c r="L7" s="3"/>
      <c r="M7" s="32" t="str">
        <f>IF(SUM(AA17:AA27)=0,"","Line Item Errors. See Line")</f>
        <v/>
      </c>
      <c r="N7" s="3"/>
      <c r="W7" s="26" t="s">
        <v>29</v>
      </c>
      <c r="AK7" s="37"/>
      <c r="AL7" s="37"/>
      <c r="AM7" s="37"/>
      <c r="AN7" s="37"/>
      <c r="AO7" s="37"/>
      <c r="AP7" s="37"/>
      <c r="AQ7" s="37"/>
      <c r="AR7" s="37"/>
      <c r="AS7" s="37"/>
      <c r="AT7" s="37"/>
      <c r="AU7" s="37"/>
      <c r="AW7" s="37"/>
      <c r="AX7" s="37"/>
      <c r="AY7" s="37"/>
      <c r="AZ7" s="37"/>
      <c r="BA7" s="37"/>
      <c r="BB7" s="37"/>
      <c r="BC7" s="37"/>
      <c r="BD7" s="37"/>
      <c r="BE7" s="37"/>
      <c r="BF7" s="37"/>
      <c r="BG7" s="37"/>
    </row>
    <row r="8" spans="2:67" ht="14.25" customHeight="1" x14ac:dyDescent="0.25">
      <c r="B8" s="52" t="s">
        <v>4</v>
      </c>
      <c r="C8" s="33"/>
      <c r="D8" s="33"/>
      <c r="G8" s="5"/>
      <c r="H8" s="5"/>
      <c r="I8" s="5"/>
      <c r="K8" s="3"/>
      <c r="L8" s="3"/>
      <c r="M8" s="32" t="str">
        <f>IF(SUM(AB17:AB27)&lt;0,"Missing Categories on description","")</f>
        <v/>
      </c>
      <c r="N8" s="3"/>
      <c r="W8" s="26" t="s">
        <v>32</v>
      </c>
      <c r="AK8" s="37"/>
      <c r="AL8" s="37"/>
      <c r="AM8" s="37"/>
      <c r="AN8" s="37"/>
      <c r="AO8" s="37"/>
      <c r="AP8" s="37"/>
      <c r="AQ8" s="37"/>
      <c r="AR8" s="37"/>
      <c r="AS8" s="37"/>
      <c r="AT8" s="37"/>
      <c r="AU8" s="37"/>
      <c r="AW8" s="37"/>
      <c r="AX8" s="37"/>
      <c r="AY8" s="37"/>
      <c r="AZ8" s="37"/>
      <c r="BA8" s="37"/>
      <c r="BB8" s="37"/>
      <c r="BC8" s="37"/>
      <c r="BD8" s="37"/>
      <c r="BE8" s="37"/>
      <c r="BF8" s="37"/>
      <c r="BG8" s="37"/>
    </row>
    <row r="9" spans="2:67" ht="14.25" customHeight="1" x14ac:dyDescent="0.25">
      <c r="B9" s="52"/>
      <c r="C9" s="54" t="s">
        <v>486</v>
      </c>
      <c r="D9" s="54"/>
      <c r="F9" s="9" t="s">
        <v>6</v>
      </c>
      <c r="G9" s="53" t="s">
        <v>46</v>
      </c>
      <c r="H9" s="53"/>
      <c r="I9" s="53"/>
      <c r="K9" s="3"/>
      <c r="L9" s="3"/>
      <c r="M9" s="32" t="str">
        <f>IF(SUM(AD17:AD27)=0,"Verify all categories should be Other","")</f>
        <v>Verify all categories should be Other</v>
      </c>
      <c r="N9" s="3"/>
      <c r="W9" s="26" t="s">
        <v>28</v>
      </c>
      <c r="AK9" s="37"/>
      <c r="AL9" s="37"/>
      <c r="AM9" s="37"/>
      <c r="AN9" s="37"/>
      <c r="AO9" s="37"/>
      <c r="AP9" s="37"/>
      <c r="AQ9" s="37"/>
      <c r="AR9" s="37"/>
      <c r="AS9" s="37"/>
      <c r="AT9" s="37"/>
      <c r="AU9" s="37"/>
      <c r="AW9" s="37"/>
      <c r="AX9" s="37"/>
      <c r="AY9" s="37"/>
      <c r="AZ9" s="37"/>
      <c r="BA9" s="37"/>
      <c r="BB9" s="37"/>
      <c r="BC9" s="37"/>
      <c r="BD9" s="37"/>
      <c r="BE9" s="37"/>
      <c r="BF9" s="37"/>
      <c r="BG9" s="37"/>
    </row>
    <row r="10" spans="2:67" ht="14.25" customHeight="1" x14ac:dyDescent="0.25">
      <c r="B10" s="4"/>
      <c r="C10" s="5"/>
      <c r="D10" s="5"/>
      <c r="F10" s="9"/>
      <c r="G10" s="53" t="s">
        <v>37</v>
      </c>
      <c r="H10" s="53"/>
      <c r="I10" s="53"/>
      <c r="K10" s="3"/>
      <c r="L10" s="3"/>
      <c r="M10" s="32" t="str">
        <f>IF(SUM(AE17:AE27)=0,"Verify all Designations should be Stock/Shop","")</f>
        <v>Verify all Designations should be Stock/Shop</v>
      </c>
      <c r="N10" s="3"/>
      <c r="W10" s="26" t="s">
        <v>27</v>
      </c>
      <c r="AK10" s="37"/>
      <c r="AL10" s="37"/>
      <c r="AM10" s="37"/>
      <c r="AN10" s="37"/>
      <c r="AO10" s="37"/>
      <c r="AP10" s="37"/>
      <c r="AQ10" s="37"/>
      <c r="AR10" s="37"/>
      <c r="AS10" s="37"/>
      <c r="AT10" s="37"/>
      <c r="AU10" s="37"/>
      <c r="AW10" s="37"/>
      <c r="AX10" s="37"/>
      <c r="AY10" s="37"/>
      <c r="AZ10" s="37"/>
      <c r="BA10" s="37"/>
      <c r="BB10" s="37"/>
      <c r="BC10" s="37"/>
      <c r="BD10" s="37"/>
      <c r="BE10" s="37"/>
      <c r="BF10" s="37"/>
      <c r="BG10" s="37"/>
    </row>
    <row r="11" spans="2:67" ht="14.25" customHeight="1" x14ac:dyDescent="0.25">
      <c r="B11" s="9" t="s">
        <v>18</v>
      </c>
      <c r="C11" s="54" t="s">
        <v>203</v>
      </c>
      <c r="D11" s="54"/>
      <c r="F11" s="9"/>
      <c r="G11" s="53" t="s">
        <v>36</v>
      </c>
      <c r="H11" s="53"/>
      <c r="I11" s="53"/>
      <c r="K11" s="3"/>
      <c r="L11" s="3"/>
      <c r="M11" s="3"/>
      <c r="N11" s="3"/>
      <c r="W11" s="26" t="s">
        <v>42</v>
      </c>
      <c r="AK11" s="37"/>
      <c r="AL11" s="37"/>
      <c r="AM11" s="37"/>
      <c r="AN11" s="37"/>
      <c r="AO11" s="37"/>
      <c r="AP11" s="37"/>
      <c r="AQ11" s="37"/>
      <c r="AR11" s="37"/>
      <c r="AS11" s="37"/>
      <c r="AT11" s="37"/>
      <c r="AU11" s="37"/>
      <c r="AW11" s="37"/>
      <c r="AX11" s="37"/>
      <c r="AY11" s="37"/>
      <c r="AZ11" s="37"/>
      <c r="BA11" s="37"/>
      <c r="BB11" s="37"/>
      <c r="BC11" s="37"/>
      <c r="BD11" s="37"/>
      <c r="BE11" s="37"/>
      <c r="BF11" s="37"/>
      <c r="BG11" s="37"/>
    </row>
    <row r="12" spans="2:67" ht="14.25" customHeight="1" x14ac:dyDescent="0.25">
      <c r="C12" s="5"/>
      <c r="D12" s="5"/>
      <c r="G12" s="5"/>
      <c r="H12" s="5"/>
      <c r="I12" s="5"/>
      <c r="K12" s="3"/>
      <c r="L12" s="3"/>
      <c r="M12" s="3"/>
      <c r="N12" s="3"/>
      <c r="W12" s="26" t="s">
        <v>31</v>
      </c>
      <c r="AK12" s="37"/>
      <c r="AL12" s="37"/>
      <c r="AM12" s="37"/>
      <c r="AN12" s="37"/>
      <c r="AO12" s="37"/>
      <c r="AP12" s="37"/>
      <c r="AQ12" s="37"/>
      <c r="AR12" s="37"/>
      <c r="AS12" s="37"/>
      <c r="AT12" s="37"/>
      <c r="AU12" s="37"/>
      <c r="AW12" s="37"/>
      <c r="AX12" s="37"/>
      <c r="AY12" s="37"/>
      <c r="AZ12" s="37"/>
      <c r="BA12" s="37"/>
      <c r="BB12" s="37"/>
      <c r="BC12" s="37"/>
      <c r="BD12" s="37"/>
      <c r="BE12" s="37"/>
      <c r="BF12" s="37"/>
      <c r="BG12" s="37"/>
    </row>
    <row r="13" spans="2:67" ht="14.25" customHeight="1" x14ac:dyDescent="0.25">
      <c r="B13" s="9" t="s">
        <v>7</v>
      </c>
      <c r="C13" s="54" t="s">
        <v>480</v>
      </c>
      <c r="D13" s="54"/>
      <c r="F13" s="9" t="s">
        <v>5</v>
      </c>
      <c r="G13" s="44" t="s">
        <v>485</v>
      </c>
      <c r="H13" s="44"/>
      <c r="I13" s="44"/>
      <c r="K13" s="3"/>
      <c r="L13" s="3"/>
      <c r="M13" s="3"/>
      <c r="N13" s="3"/>
      <c r="W13" s="26"/>
      <c r="AK13" s="37"/>
      <c r="AL13" s="37"/>
      <c r="AM13" s="37"/>
      <c r="AN13" s="37"/>
      <c r="AO13" s="37"/>
      <c r="AP13" s="37"/>
      <c r="AQ13" s="37"/>
      <c r="AR13" s="37"/>
      <c r="AS13" s="37"/>
      <c r="AT13" s="37"/>
      <c r="AU13" s="37"/>
      <c r="AW13" s="37"/>
      <c r="AX13" s="37"/>
      <c r="AY13" s="37"/>
      <c r="AZ13" s="37"/>
      <c r="BA13" s="37"/>
      <c r="BB13" s="37"/>
      <c r="BC13" s="37"/>
      <c r="BD13" s="37"/>
      <c r="BE13" s="37"/>
      <c r="BF13" s="37"/>
      <c r="BG13" s="37"/>
    </row>
    <row r="14" spans="2:67" ht="14.25" customHeight="1" x14ac:dyDescent="0.25">
      <c r="B14" s="9" t="s">
        <v>17</v>
      </c>
      <c r="C14" s="54">
        <v>0</v>
      </c>
      <c r="D14" s="54"/>
      <c r="F14" s="10" t="s">
        <v>144</v>
      </c>
      <c r="G14" s="44" t="s">
        <v>477</v>
      </c>
      <c r="H14" s="44"/>
      <c r="I14" s="44"/>
      <c r="K14" s="3"/>
      <c r="L14" s="3"/>
      <c r="M14" s="3"/>
      <c r="N14" s="3"/>
      <c r="W14" s="26"/>
      <c r="AK14" s="37"/>
      <c r="AL14" s="37"/>
      <c r="AM14" s="37"/>
      <c r="AN14" s="37"/>
      <c r="AO14" s="37"/>
      <c r="AP14" s="37"/>
      <c r="AQ14" s="37"/>
      <c r="AR14" s="37"/>
      <c r="AS14" s="37"/>
      <c r="AT14" s="37"/>
      <c r="AU14" s="37"/>
      <c r="AW14" s="37"/>
      <c r="AX14" s="37"/>
      <c r="AY14" s="37"/>
      <c r="AZ14" s="37"/>
      <c r="BA14" s="37"/>
      <c r="BB14" s="37"/>
      <c r="BC14" s="37"/>
      <c r="BD14" s="37"/>
      <c r="BE14" s="37"/>
      <c r="BF14" s="37"/>
      <c r="BG14" s="37"/>
    </row>
    <row r="15" spans="2:67" x14ac:dyDescent="0.25">
      <c r="K15" s="3"/>
      <c r="L15" s="3"/>
      <c r="M15" s="3"/>
      <c r="N15" s="3"/>
      <c r="W15" s="26"/>
      <c r="AK15" s="37"/>
      <c r="AL15" s="37"/>
      <c r="AM15" s="37"/>
      <c r="AN15" s="37"/>
      <c r="AO15" s="37"/>
      <c r="AP15" s="37"/>
      <c r="AQ15" s="37"/>
      <c r="AR15" s="37"/>
      <c r="AS15" s="37"/>
      <c r="AT15" s="37"/>
      <c r="AU15" s="37"/>
      <c r="AW15" s="37"/>
      <c r="AX15" s="37"/>
      <c r="AY15" s="37"/>
      <c r="AZ15" s="37"/>
      <c r="BA15" s="37"/>
      <c r="BB15" s="37"/>
      <c r="BC15" s="37"/>
      <c r="BD15" s="37"/>
      <c r="BE15" s="37"/>
      <c r="BF15" s="37"/>
      <c r="BG15" s="37"/>
    </row>
    <row r="16" spans="2:67" ht="21.6" customHeight="1" x14ac:dyDescent="0.25">
      <c r="B16" s="47" t="s">
        <v>1</v>
      </c>
      <c r="C16" s="48"/>
      <c r="D16" s="48"/>
      <c r="E16" s="49"/>
      <c r="F16" s="8" t="s">
        <v>2</v>
      </c>
      <c r="G16" s="8" t="s">
        <v>25</v>
      </c>
      <c r="H16" s="8" t="s">
        <v>3</v>
      </c>
      <c r="I16" s="8" t="s">
        <v>23</v>
      </c>
      <c r="K16" s="3"/>
      <c r="M16" s="8" t="s">
        <v>44</v>
      </c>
      <c r="N16" s="8" t="s">
        <v>34</v>
      </c>
      <c r="U16" s="8" t="s">
        <v>22</v>
      </c>
      <c r="W16" s="26"/>
      <c r="AD16" s="1" t="s">
        <v>49</v>
      </c>
      <c r="AE16" s="1" t="s">
        <v>48</v>
      </c>
      <c r="AK16" s="37"/>
      <c r="AL16" s="37"/>
      <c r="AM16" s="37"/>
      <c r="AN16" s="37"/>
      <c r="AO16" s="37"/>
      <c r="AP16" s="37"/>
      <c r="AQ16" s="37"/>
      <c r="AR16" s="37"/>
      <c r="AS16" s="37"/>
      <c r="AT16" s="37"/>
      <c r="AU16" s="37"/>
      <c r="AW16" s="37"/>
      <c r="AX16" s="37"/>
      <c r="AY16" s="37"/>
      <c r="AZ16" s="37"/>
      <c r="BA16" s="37"/>
      <c r="BB16" s="37"/>
      <c r="BC16" s="37"/>
      <c r="BD16" s="37"/>
      <c r="BE16" s="37"/>
      <c r="BF16" s="37"/>
      <c r="BG16" s="37"/>
      <c r="BH16" s="8" t="s">
        <v>145</v>
      </c>
      <c r="BJ16" s="8" t="s">
        <v>14</v>
      </c>
      <c r="BK16" s="8" t="s">
        <v>15</v>
      </c>
      <c r="BL16" s="8" t="s">
        <v>16</v>
      </c>
      <c r="BM16" s="8" t="s">
        <v>19</v>
      </c>
      <c r="BN16" s="8" t="s">
        <v>20</v>
      </c>
      <c r="BO16" s="8" t="s">
        <v>21</v>
      </c>
    </row>
    <row r="17" spans="2:67" ht="27" customHeight="1" x14ac:dyDescent="0.25">
      <c r="B17" s="50"/>
      <c r="C17" s="39"/>
      <c r="D17" s="39"/>
      <c r="E17" s="40"/>
      <c r="F17" s="14"/>
      <c r="G17" s="14"/>
      <c r="H17" s="16"/>
      <c r="I17" s="16">
        <f>QUANT1*UNIT1</f>
        <v>0</v>
      </c>
      <c r="K17" s="3"/>
      <c r="L17" s="35" t="str">
        <f>IF(Y17=1,"Missing Description",IF(Z17=1,"Missing Qty",""))</f>
        <v/>
      </c>
      <c r="M17" s="14" t="s">
        <v>47</v>
      </c>
      <c r="N17" s="14" t="s">
        <v>33</v>
      </c>
      <c r="U17" s="6" t="str">
        <f t="shared" ref="U17:U27" si="0">BJ17&amp;" "&amp;BK17&amp;" "&amp;BL17&amp;" "&amp;BM17&amp;BO17&amp;" x "&amp;BN17&amp;BO17</f>
        <v xml:space="preserve">    x </v>
      </c>
      <c r="W17" s="26" t="str">
        <f>IF(STOCK1="Yes","yay"," ")</f>
        <v xml:space="preserve"> </v>
      </c>
      <c r="Y17" s="1">
        <f t="shared" ref="Y17:Y27" si="1">IF(B17="",0,1)</f>
        <v>0</v>
      </c>
      <c r="Z17" s="1">
        <f t="shared" ref="Z17:Z27" si="2">IF(F17="",0,1)</f>
        <v>0</v>
      </c>
      <c r="AA17" s="1">
        <f>ABS(Y17-Z17)</f>
        <v>0</v>
      </c>
      <c r="AB17" s="1">
        <f t="shared" ref="AB17:AB27" si="3">IF(AA17&gt;0,IF(MATERIAL1="",-1,0),0)</f>
        <v>0</v>
      </c>
      <c r="AD17" s="1">
        <f t="shared" ref="AD17:AD27" si="4">IF(MATERIAL1="Other",0,1)</f>
        <v>0</v>
      </c>
      <c r="AE17" s="1">
        <f t="shared" ref="AE17:AE27" si="5">IF(STOCK1="Stock/Shop",0,1)</f>
        <v>0</v>
      </c>
      <c r="AK17" s="37"/>
      <c r="AL17" s="37"/>
      <c r="AM17" s="37"/>
      <c r="AN17" s="37"/>
      <c r="AO17" s="37"/>
      <c r="AP17" s="37"/>
      <c r="AQ17" s="37"/>
      <c r="AR17" s="37"/>
      <c r="AS17" s="37"/>
      <c r="AT17" s="37"/>
      <c r="AU17" s="37"/>
      <c r="AW17" s="37"/>
      <c r="AX17" s="37"/>
      <c r="AY17" s="37"/>
      <c r="AZ17" s="37"/>
      <c r="BA17" s="37"/>
      <c r="BB17" s="37"/>
      <c r="BC17" s="37"/>
      <c r="BD17" s="37"/>
      <c r="BE17" s="37"/>
      <c r="BF17" s="37"/>
      <c r="BG17" s="37"/>
      <c r="BH17" s="14" t="s">
        <v>147</v>
      </c>
      <c r="BJ17" s="20"/>
      <c r="BK17" s="6"/>
      <c r="BL17" s="6"/>
      <c r="BM17" s="22"/>
      <c r="BN17" s="22"/>
      <c r="BO17" s="24"/>
    </row>
    <row r="18" spans="2:67" ht="27" customHeight="1" x14ac:dyDescent="0.25">
      <c r="B18" s="41"/>
      <c r="C18" s="42"/>
      <c r="D18" s="42"/>
      <c r="E18" s="43"/>
      <c r="F18" s="15"/>
      <c r="G18" s="15"/>
      <c r="H18" s="17"/>
      <c r="I18" s="17">
        <f>QUANT2*UNIT2</f>
        <v>0</v>
      </c>
      <c r="K18" s="3"/>
      <c r="L18" s="35" t="str">
        <f t="shared" ref="L18:L27" si="6">IF(Y18=1,"Missing Description",IF(Z18=1,"Missing Qty",""))</f>
        <v/>
      </c>
      <c r="M18" s="15" t="s">
        <v>47</v>
      </c>
      <c r="N18" s="15" t="s">
        <v>33</v>
      </c>
      <c r="U18" s="11" t="str">
        <f t="shared" si="0"/>
        <v xml:space="preserve">    x </v>
      </c>
      <c r="W18" s="26"/>
      <c r="Y18" s="1">
        <f t="shared" si="1"/>
        <v>0</v>
      </c>
      <c r="Z18" s="1">
        <f t="shared" si="2"/>
        <v>0</v>
      </c>
      <c r="AA18" s="1">
        <f t="shared" ref="AA18:AA27" si="7">ABS(Y18-Z18)</f>
        <v>0</v>
      </c>
      <c r="AB18" s="1">
        <f t="shared" si="3"/>
        <v>0</v>
      </c>
      <c r="AD18" s="1">
        <f t="shared" si="4"/>
        <v>0</v>
      </c>
      <c r="AE18" s="1">
        <f t="shared" si="5"/>
        <v>0</v>
      </c>
      <c r="AK18" s="37"/>
      <c r="AL18" s="37"/>
      <c r="AM18" s="37"/>
      <c r="AN18" s="37"/>
      <c r="AO18" s="37"/>
      <c r="AP18" s="37"/>
      <c r="AQ18" s="37"/>
      <c r="AR18" s="37"/>
      <c r="AS18" s="37"/>
      <c r="AT18" s="37"/>
      <c r="AU18" s="37"/>
      <c r="AW18" s="37"/>
      <c r="AX18" s="37"/>
      <c r="AY18" s="37"/>
      <c r="AZ18" s="37"/>
      <c r="BA18" s="37"/>
      <c r="BB18" s="37"/>
      <c r="BC18" s="37"/>
      <c r="BD18" s="37"/>
      <c r="BE18" s="37"/>
      <c r="BF18" s="37"/>
      <c r="BG18" s="37"/>
      <c r="BH18" s="15" t="s">
        <v>147</v>
      </c>
      <c r="BJ18" s="21"/>
      <c r="BK18" s="11"/>
      <c r="BL18" s="11"/>
      <c r="BM18" s="23"/>
      <c r="BN18" s="23"/>
      <c r="BO18" s="25"/>
    </row>
    <row r="19" spans="2:67" ht="27" customHeight="1" x14ac:dyDescent="0.25">
      <c r="B19" s="38"/>
      <c r="C19" s="39"/>
      <c r="D19" s="39"/>
      <c r="E19" s="40"/>
      <c r="F19" s="14"/>
      <c r="G19" s="14"/>
      <c r="H19" s="16"/>
      <c r="I19" s="16">
        <f>QUANT3*UNIT3</f>
        <v>0</v>
      </c>
      <c r="K19" s="3"/>
      <c r="L19" s="35" t="str">
        <f t="shared" si="6"/>
        <v/>
      </c>
      <c r="M19" s="14" t="s">
        <v>47</v>
      </c>
      <c r="N19" s="14" t="s">
        <v>33</v>
      </c>
      <c r="U19" s="6" t="str">
        <f t="shared" si="0"/>
        <v xml:space="preserve">    x </v>
      </c>
      <c r="W19" s="27"/>
      <c r="Y19" s="1">
        <f t="shared" si="1"/>
        <v>0</v>
      </c>
      <c r="Z19" s="1">
        <f t="shared" si="2"/>
        <v>0</v>
      </c>
      <c r="AA19" s="1">
        <f t="shared" si="7"/>
        <v>0</v>
      </c>
      <c r="AB19" s="1">
        <f t="shared" si="3"/>
        <v>0</v>
      </c>
      <c r="AD19" s="1">
        <f t="shared" si="4"/>
        <v>0</v>
      </c>
      <c r="AE19" s="1">
        <f t="shared" si="5"/>
        <v>0</v>
      </c>
      <c r="AK19" s="37"/>
      <c r="AL19" s="37"/>
      <c r="AM19" s="37"/>
      <c r="AN19" s="37"/>
      <c r="AO19" s="37"/>
      <c r="AP19" s="37"/>
      <c r="AQ19" s="37"/>
      <c r="AR19" s="37"/>
      <c r="AS19" s="37"/>
      <c r="AT19" s="37"/>
      <c r="AU19" s="37"/>
      <c r="AW19" s="37"/>
      <c r="AX19" s="37"/>
      <c r="AY19" s="37"/>
      <c r="AZ19" s="37"/>
      <c r="BA19" s="37"/>
      <c r="BB19" s="37"/>
      <c r="BC19" s="37"/>
      <c r="BD19" s="37"/>
      <c r="BE19" s="37"/>
      <c r="BF19" s="37"/>
      <c r="BG19" s="37"/>
      <c r="BH19" s="14" t="s">
        <v>147</v>
      </c>
      <c r="BJ19" s="20"/>
      <c r="BK19" s="6"/>
      <c r="BL19" s="6"/>
      <c r="BM19" s="22"/>
      <c r="BN19" s="22"/>
      <c r="BO19" s="24"/>
    </row>
    <row r="20" spans="2:67" ht="27" customHeight="1" x14ac:dyDescent="0.25">
      <c r="B20" s="46"/>
      <c r="C20" s="42"/>
      <c r="D20" s="42"/>
      <c r="E20" s="43"/>
      <c r="F20" s="15"/>
      <c r="G20" s="15"/>
      <c r="H20" s="17"/>
      <c r="I20" s="17">
        <f>QUANT4*UNIT4</f>
        <v>0</v>
      </c>
      <c r="K20" s="3"/>
      <c r="L20" s="35" t="str">
        <f t="shared" si="6"/>
        <v/>
      </c>
      <c r="M20" s="15" t="s">
        <v>47</v>
      </c>
      <c r="N20" s="15" t="s">
        <v>33</v>
      </c>
      <c r="U20" s="11" t="str">
        <f t="shared" si="0"/>
        <v xml:space="preserve">    x </v>
      </c>
      <c r="Y20" s="1">
        <f t="shared" si="1"/>
        <v>0</v>
      </c>
      <c r="Z20" s="1">
        <f t="shared" si="2"/>
        <v>0</v>
      </c>
      <c r="AA20" s="1">
        <f t="shared" si="7"/>
        <v>0</v>
      </c>
      <c r="AB20" s="1">
        <f t="shared" si="3"/>
        <v>0</v>
      </c>
      <c r="AD20" s="1">
        <f t="shared" si="4"/>
        <v>0</v>
      </c>
      <c r="AE20" s="1">
        <f t="shared" si="5"/>
        <v>0</v>
      </c>
      <c r="AK20" s="37"/>
      <c r="AL20" s="37"/>
      <c r="AM20" s="37"/>
      <c r="AN20" s="37"/>
      <c r="AO20" s="37"/>
      <c r="AP20" s="37"/>
      <c r="AQ20" s="37"/>
      <c r="AR20" s="37"/>
      <c r="AS20" s="37"/>
      <c r="AT20" s="37"/>
      <c r="AU20" s="37"/>
      <c r="AW20" s="37"/>
      <c r="AX20" s="37"/>
      <c r="AY20" s="37"/>
      <c r="AZ20" s="37"/>
      <c r="BA20" s="37"/>
      <c r="BB20" s="37"/>
      <c r="BC20" s="37"/>
      <c r="BD20" s="37"/>
      <c r="BE20" s="37"/>
      <c r="BF20" s="37"/>
      <c r="BG20" s="37"/>
      <c r="BH20" s="15" t="s">
        <v>147</v>
      </c>
      <c r="BJ20" s="21"/>
      <c r="BK20" s="11"/>
      <c r="BL20" s="11"/>
      <c r="BM20" s="23"/>
      <c r="BN20" s="23"/>
      <c r="BO20" s="25"/>
    </row>
    <row r="21" spans="2:67" ht="27" customHeight="1" x14ac:dyDescent="0.25">
      <c r="B21" s="38"/>
      <c r="C21" s="39"/>
      <c r="D21" s="39"/>
      <c r="E21" s="40"/>
      <c r="F21" s="14"/>
      <c r="G21" s="14"/>
      <c r="H21" s="16"/>
      <c r="I21" s="16">
        <f>QUANT5*UNIT5</f>
        <v>0</v>
      </c>
      <c r="K21" s="3"/>
      <c r="L21" s="35" t="str">
        <f t="shared" si="6"/>
        <v/>
      </c>
      <c r="M21" s="14" t="s">
        <v>47</v>
      </c>
      <c r="N21" s="14" t="s">
        <v>33</v>
      </c>
      <c r="U21" s="6" t="str">
        <f t="shared" si="0"/>
        <v xml:space="preserve">    x </v>
      </c>
      <c r="Y21" s="1">
        <f t="shared" si="1"/>
        <v>0</v>
      </c>
      <c r="Z21" s="1">
        <f t="shared" si="2"/>
        <v>0</v>
      </c>
      <c r="AA21" s="1">
        <f t="shared" si="7"/>
        <v>0</v>
      </c>
      <c r="AB21" s="1">
        <f t="shared" si="3"/>
        <v>0</v>
      </c>
      <c r="AD21" s="1">
        <f t="shared" si="4"/>
        <v>0</v>
      </c>
      <c r="AE21" s="1">
        <f t="shared" si="5"/>
        <v>0</v>
      </c>
      <c r="AK21" s="37"/>
      <c r="AL21" s="37"/>
      <c r="AM21" s="37"/>
      <c r="AN21" s="37"/>
      <c r="AO21" s="37"/>
      <c r="AP21" s="37"/>
      <c r="AQ21" s="37"/>
      <c r="AR21" s="37"/>
      <c r="AS21" s="37"/>
      <c r="AT21" s="37"/>
      <c r="AU21" s="37"/>
      <c r="AW21" s="37"/>
      <c r="AX21" s="37"/>
      <c r="AY21" s="37"/>
      <c r="AZ21" s="37"/>
      <c r="BA21" s="37"/>
      <c r="BB21" s="37"/>
      <c r="BC21" s="37"/>
      <c r="BD21" s="37"/>
      <c r="BE21" s="37"/>
      <c r="BF21" s="37"/>
      <c r="BG21" s="37"/>
      <c r="BH21" s="14" t="s">
        <v>147</v>
      </c>
      <c r="BJ21" s="20"/>
      <c r="BK21" s="6"/>
      <c r="BL21" s="6"/>
      <c r="BM21" s="22"/>
      <c r="BN21" s="22"/>
      <c r="BO21" s="24"/>
    </row>
    <row r="22" spans="2:67" ht="27" customHeight="1" x14ac:dyDescent="0.25">
      <c r="B22" s="46"/>
      <c r="C22" s="42"/>
      <c r="D22" s="42"/>
      <c r="E22" s="43"/>
      <c r="F22" s="15"/>
      <c r="G22" s="15"/>
      <c r="H22" s="17"/>
      <c r="I22" s="17">
        <f>QUANT6*UNIT6</f>
        <v>0</v>
      </c>
      <c r="K22" s="3"/>
      <c r="L22" s="35" t="str">
        <f t="shared" si="6"/>
        <v/>
      </c>
      <c r="M22" s="15" t="s">
        <v>47</v>
      </c>
      <c r="N22" s="15" t="s">
        <v>33</v>
      </c>
      <c r="U22" s="11" t="str">
        <f t="shared" si="0"/>
        <v xml:space="preserve">    x </v>
      </c>
      <c r="Y22" s="1">
        <f t="shared" si="1"/>
        <v>0</v>
      </c>
      <c r="Z22" s="1">
        <f t="shared" si="2"/>
        <v>0</v>
      </c>
      <c r="AA22" s="1">
        <f t="shared" si="7"/>
        <v>0</v>
      </c>
      <c r="AB22" s="1">
        <f t="shared" si="3"/>
        <v>0</v>
      </c>
      <c r="AD22" s="1">
        <f t="shared" si="4"/>
        <v>0</v>
      </c>
      <c r="AE22" s="1">
        <f t="shared" si="5"/>
        <v>0</v>
      </c>
      <c r="AK22" s="37"/>
      <c r="AL22" s="37"/>
      <c r="AM22" s="37"/>
      <c r="AN22" s="37"/>
      <c r="AO22" s="37"/>
      <c r="AP22" s="37"/>
      <c r="AQ22" s="37"/>
      <c r="AR22" s="37"/>
      <c r="AS22" s="37"/>
      <c r="AT22" s="37"/>
      <c r="AU22" s="37"/>
      <c r="AW22" s="37"/>
      <c r="AX22" s="37"/>
      <c r="AY22" s="37"/>
      <c r="AZ22" s="37"/>
      <c r="BA22" s="37"/>
      <c r="BB22" s="37"/>
      <c r="BC22" s="37"/>
      <c r="BD22" s="37"/>
      <c r="BE22" s="37"/>
      <c r="BF22" s="37"/>
      <c r="BG22" s="37"/>
      <c r="BH22" s="15" t="s">
        <v>147</v>
      </c>
      <c r="BJ22" s="21"/>
      <c r="BK22" s="11"/>
      <c r="BL22" s="11"/>
      <c r="BM22" s="23"/>
      <c r="BN22" s="23"/>
      <c r="BO22" s="25"/>
    </row>
    <row r="23" spans="2:67" ht="27" customHeight="1" x14ac:dyDescent="0.25">
      <c r="B23" s="38"/>
      <c r="C23" s="39"/>
      <c r="D23" s="39"/>
      <c r="E23" s="40"/>
      <c r="F23" s="14"/>
      <c r="G23" s="14"/>
      <c r="H23" s="16"/>
      <c r="I23" s="16">
        <f>QUANT7*UNIT7</f>
        <v>0</v>
      </c>
      <c r="K23" s="3"/>
      <c r="L23" s="35" t="str">
        <f t="shared" si="6"/>
        <v/>
      </c>
      <c r="M23" s="14" t="s">
        <v>47</v>
      </c>
      <c r="N23" s="14" t="s">
        <v>33</v>
      </c>
      <c r="U23" s="6" t="str">
        <f t="shared" si="0"/>
        <v xml:space="preserve">    x </v>
      </c>
      <c r="Y23" s="1">
        <f t="shared" si="1"/>
        <v>0</v>
      </c>
      <c r="Z23" s="1">
        <f t="shared" si="2"/>
        <v>0</v>
      </c>
      <c r="AA23" s="1">
        <f t="shared" si="7"/>
        <v>0</v>
      </c>
      <c r="AB23" s="1">
        <f t="shared" si="3"/>
        <v>0</v>
      </c>
      <c r="AD23" s="1">
        <f t="shared" si="4"/>
        <v>0</v>
      </c>
      <c r="AE23" s="1">
        <f t="shared" si="5"/>
        <v>0</v>
      </c>
      <c r="AK23" s="37"/>
      <c r="AL23" s="37"/>
      <c r="AM23" s="37"/>
      <c r="AN23" s="37"/>
      <c r="AO23" s="37"/>
      <c r="AP23" s="37"/>
      <c r="AQ23" s="37"/>
      <c r="AR23" s="37"/>
      <c r="AS23" s="37"/>
      <c r="AT23" s="37"/>
      <c r="AU23" s="37"/>
      <c r="AW23" s="37"/>
      <c r="AX23" s="37"/>
      <c r="AY23" s="37"/>
      <c r="AZ23" s="37"/>
      <c r="BA23" s="37"/>
      <c r="BB23" s="37"/>
      <c r="BC23" s="37"/>
      <c r="BD23" s="37"/>
      <c r="BE23" s="37"/>
      <c r="BF23" s="37"/>
      <c r="BG23" s="37"/>
      <c r="BH23" s="14" t="s">
        <v>147</v>
      </c>
      <c r="BJ23" s="20"/>
      <c r="BK23" s="6"/>
      <c r="BL23" s="6"/>
      <c r="BM23" s="22"/>
      <c r="BN23" s="22"/>
      <c r="BO23" s="24"/>
    </row>
    <row r="24" spans="2:67" ht="27" customHeight="1" x14ac:dyDescent="0.25">
      <c r="B24" s="46"/>
      <c r="C24" s="42"/>
      <c r="D24" s="42"/>
      <c r="E24" s="43"/>
      <c r="F24" s="15"/>
      <c r="G24" s="15"/>
      <c r="H24" s="17"/>
      <c r="I24" s="17">
        <f>QUANT8*UNIT8</f>
        <v>0</v>
      </c>
      <c r="K24" s="3"/>
      <c r="L24" s="35" t="str">
        <f t="shared" si="6"/>
        <v/>
      </c>
      <c r="M24" s="15" t="s">
        <v>47</v>
      </c>
      <c r="N24" s="15" t="s">
        <v>33</v>
      </c>
      <c r="U24" s="11" t="str">
        <f t="shared" si="0"/>
        <v xml:space="preserve">    x </v>
      </c>
      <c r="V24" s="3"/>
      <c r="Y24" s="1">
        <f t="shared" si="1"/>
        <v>0</v>
      </c>
      <c r="Z24" s="1">
        <f t="shared" si="2"/>
        <v>0</v>
      </c>
      <c r="AA24" s="1">
        <f t="shared" si="7"/>
        <v>0</v>
      </c>
      <c r="AB24" s="1">
        <f t="shared" si="3"/>
        <v>0</v>
      </c>
      <c r="AD24" s="1">
        <f t="shared" si="4"/>
        <v>0</v>
      </c>
      <c r="AE24" s="1">
        <f t="shared" si="5"/>
        <v>0</v>
      </c>
      <c r="AK24" s="37"/>
      <c r="AL24" s="37"/>
      <c r="AM24" s="37"/>
      <c r="AN24" s="37"/>
      <c r="AO24" s="37"/>
      <c r="AP24" s="37"/>
      <c r="AQ24" s="37"/>
      <c r="AR24" s="37"/>
      <c r="AS24" s="37"/>
      <c r="AT24" s="37"/>
      <c r="AU24" s="37"/>
      <c r="AW24" s="37"/>
      <c r="AX24" s="37"/>
      <c r="AY24" s="37"/>
      <c r="AZ24" s="37"/>
      <c r="BA24" s="37"/>
      <c r="BB24" s="37"/>
      <c r="BC24" s="37"/>
      <c r="BD24" s="37"/>
      <c r="BE24" s="37"/>
      <c r="BF24" s="37"/>
      <c r="BG24" s="37"/>
      <c r="BH24" s="15" t="s">
        <v>147</v>
      </c>
      <c r="BJ24" s="21"/>
      <c r="BK24" s="11"/>
      <c r="BL24" s="11"/>
      <c r="BM24" s="23"/>
      <c r="BN24" s="23"/>
      <c r="BO24" s="25"/>
    </row>
    <row r="25" spans="2:67" ht="27" customHeight="1" x14ac:dyDescent="0.25">
      <c r="B25" s="38"/>
      <c r="C25" s="39"/>
      <c r="D25" s="39"/>
      <c r="E25" s="40"/>
      <c r="F25" s="14"/>
      <c r="G25" s="14"/>
      <c r="H25" s="16"/>
      <c r="I25" s="16">
        <f>QUANT9*UNIT9</f>
        <v>0</v>
      </c>
      <c r="K25" s="3"/>
      <c r="L25" s="35" t="str">
        <f t="shared" si="6"/>
        <v/>
      </c>
      <c r="M25" s="14" t="s">
        <v>47</v>
      </c>
      <c r="N25" s="14" t="s">
        <v>33</v>
      </c>
      <c r="U25" s="6" t="str">
        <f t="shared" si="0"/>
        <v xml:space="preserve">    x </v>
      </c>
      <c r="V25" s="3"/>
      <c r="Y25" s="1">
        <f t="shared" si="1"/>
        <v>0</v>
      </c>
      <c r="Z25" s="1">
        <f t="shared" si="2"/>
        <v>0</v>
      </c>
      <c r="AA25" s="1">
        <f t="shared" si="7"/>
        <v>0</v>
      </c>
      <c r="AB25" s="1">
        <f t="shared" si="3"/>
        <v>0</v>
      </c>
      <c r="AD25" s="1">
        <f t="shared" si="4"/>
        <v>0</v>
      </c>
      <c r="AE25" s="1">
        <f t="shared" si="5"/>
        <v>0</v>
      </c>
      <c r="AK25" s="37"/>
      <c r="AL25" s="37"/>
      <c r="AM25" s="37"/>
      <c r="AN25" s="37"/>
      <c r="AO25" s="37"/>
      <c r="AP25" s="37"/>
      <c r="AQ25" s="37"/>
      <c r="AR25" s="37"/>
      <c r="AS25" s="37"/>
      <c r="AT25" s="37"/>
      <c r="AU25" s="37"/>
      <c r="AW25" s="37"/>
      <c r="AX25" s="37"/>
      <c r="AY25" s="37"/>
      <c r="AZ25" s="37"/>
      <c r="BA25" s="37"/>
      <c r="BB25" s="37"/>
      <c r="BC25" s="37"/>
      <c r="BD25" s="37"/>
      <c r="BE25" s="37"/>
      <c r="BF25" s="37"/>
      <c r="BG25" s="37"/>
      <c r="BH25" s="14" t="s">
        <v>147</v>
      </c>
      <c r="BJ25" s="20"/>
      <c r="BK25" s="6"/>
      <c r="BL25" s="6"/>
      <c r="BM25" s="22"/>
      <c r="BN25" s="22"/>
      <c r="BO25" s="24"/>
    </row>
    <row r="26" spans="2:67" ht="27" customHeight="1" x14ac:dyDescent="0.25">
      <c r="B26" s="46"/>
      <c r="C26" s="42"/>
      <c r="D26" s="42"/>
      <c r="E26" s="43"/>
      <c r="F26" s="15"/>
      <c r="G26" s="15"/>
      <c r="H26" s="17"/>
      <c r="I26" s="17">
        <f>QUANT10*UNIT10</f>
        <v>0</v>
      </c>
      <c r="K26" s="3"/>
      <c r="L26" s="35" t="str">
        <f t="shared" si="6"/>
        <v/>
      </c>
      <c r="M26" s="15" t="s">
        <v>47</v>
      </c>
      <c r="N26" s="15" t="s">
        <v>33</v>
      </c>
      <c r="U26" s="11" t="str">
        <f t="shared" si="0"/>
        <v xml:space="preserve">    x </v>
      </c>
      <c r="V26" s="3"/>
      <c r="Y26" s="1">
        <f t="shared" si="1"/>
        <v>0</v>
      </c>
      <c r="Z26" s="1">
        <f t="shared" si="2"/>
        <v>0</v>
      </c>
      <c r="AA26" s="1">
        <f t="shared" si="7"/>
        <v>0</v>
      </c>
      <c r="AB26" s="1">
        <f t="shared" si="3"/>
        <v>0</v>
      </c>
      <c r="AD26" s="1">
        <f t="shared" si="4"/>
        <v>0</v>
      </c>
      <c r="AE26" s="1">
        <f t="shared" si="5"/>
        <v>0</v>
      </c>
      <c r="AK26" s="37"/>
      <c r="AL26" s="37"/>
      <c r="AM26" s="37"/>
      <c r="AN26" s="37"/>
      <c r="AO26" s="37"/>
      <c r="AP26" s="37"/>
      <c r="AQ26" s="37"/>
      <c r="AR26" s="37"/>
      <c r="AS26" s="37"/>
      <c r="AT26" s="37"/>
      <c r="AU26" s="37"/>
      <c r="AW26" s="37"/>
      <c r="AX26" s="37"/>
      <c r="AY26" s="37"/>
      <c r="AZ26" s="37"/>
      <c r="BA26" s="37"/>
      <c r="BB26" s="37"/>
      <c r="BC26" s="37"/>
      <c r="BD26" s="37"/>
      <c r="BE26" s="37"/>
      <c r="BF26" s="37"/>
      <c r="BG26" s="37"/>
      <c r="BH26" s="15" t="s">
        <v>147</v>
      </c>
      <c r="BJ26" s="21"/>
      <c r="BK26" s="11"/>
      <c r="BL26" s="11"/>
      <c r="BM26" s="23"/>
      <c r="BN26" s="23"/>
      <c r="BO26" s="25"/>
    </row>
    <row r="27" spans="2:67" ht="27" customHeight="1" x14ac:dyDescent="0.25">
      <c r="B27" s="38"/>
      <c r="C27" s="39"/>
      <c r="D27" s="39"/>
      <c r="E27" s="40"/>
      <c r="F27" s="14"/>
      <c r="G27" s="14"/>
      <c r="H27" s="16"/>
      <c r="I27" s="16">
        <f>QUANT11*UNIT11</f>
        <v>0</v>
      </c>
      <c r="K27" s="3"/>
      <c r="L27" s="35" t="str">
        <f t="shared" si="6"/>
        <v/>
      </c>
      <c r="M27" s="14" t="s">
        <v>47</v>
      </c>
      <c r="N27" s="14" t="s">
        <v>33</v>
      </c>
      <c r="U27" s="6" t="str">
        <f t="shared" si="0"/>
        <v xml:space="preserve">    x </v>
      </c>
      <c r="V27" s="3"/>
      <c r="Y27" s="1">
        <f t="shared" si="1"/>
        <v>0</v>
      </c>
      <c r="Z27" s="1">
        <f t="shared" si="2"/>
        <v>0</v>
      </c>
      <c r="AA27" s="1">
        <f t="shared" si="7"/>
        <v>0</v>
      </c>
      <c r="AB27" s="1">
        <f t="shared" si="3"/>
        <v>0</v>
      </c>
      <c r="AD27" s="1">
        <f t="shared" si="4"/>
        <v>0</v>
      </c>
      <c r="AE27" s="1">
        <f t="shared" si="5"/>
        <v>0</v>
      </c>
      <c r="AK27" s="37"/>
      <c r="AL27" s="37"/>
      <c r="AM27" s="37"/>
      <c r="AN27" s="37"/>
      <c r="AO27" s="37"/>
      <c r="AP27" s="37"/>
      <c r="AQ27" s="37"/>
      <c r="AR27" s="37"/>
      <c r="AS27" s="37"/>
      <c r="AT27" s="37"/>
      <c r="AU27" s="37"/>
      <c r="AW27" s="37"/>
      <c r="AX27" s="37"/>
      <c r="AY27" s="37"/>
      <c r="AZ27" s="37"/>
      <c r="BA27" s="37"/>
      <c r="BB27" s="37"/>
      <c r="BC27" s="37"/>
      <c r="BD27" s="37"/>
      <c r="BE27" s="37"/>
      <c r="BF27" s="37"/>
      <c r="BG27" s="37"/>
      <c r="BH27" s="14" t="s">
        <v>147</v>
      </c>
      <c r="BJ27" s="20"/>
      <c r="BK27" s="6"/>
      <c r="BL27" s="6"/>
      <c r="BM27" s="22"/>
      <c r="BN27" s="22"/>
      <c r="BO27" s="24"/>
    </row>
    <row r="28" spans="2:67" ht="27" customHeight="1" x14ac:dyDescent="0.25">
      <c r="B28" s="19"/>
      <c r="C28" s="19"/>
      <c r="D28" s="19"/>
      <c r="E28" s="19"/>
      <c r="F28" s="19"/>
      <c r="G28" s="19"/>
      <c r="H28" s="12" t="s">
        <v>8</v>
      </c>
      <c r="I28" s="18">
        <f>SUM(I17:I23)</f>
        <v>0</v>
      </c>
      <c r="K28" s="3"/>
      <c r="L28"/>
      <c r="AK28" s="37"/>
      <c r="AL28" s="37"/>
      <c r="AM28" s="37"/>
      <c r="AN28" s="37"/>
      <c r="AO28" s="37"/>
      <c r="AP28" s="37"/>
      <c r="AQ28" s="37"/>
      <c r="AR28" s="37"/>
      <c r="AS28" s="37"/>
      <c r="AT28" s="37"/>
      <c r="AU28" s="37"/>
      <c r="AW28" s="37"/>
      <c r="AX28" s="37"/>
      <c r="AY28" s="37"/>
      <c r="AZ28" s="37"/>
      <c r="BA28" s="37"/>
      <c r="BB28" s="37"/>
      <c r="BC28" s="37"/>
      <c r="BD28" s="37"/>
      <c r="BE28" s="37"/>
      <c r="BF28" s="37"/>
      <c r="BG28" s="37"/>
    </row>
    <row r="29" spans="2:67" ht="13.5" customHeight="1" x14ac:dyDescent="0.25">
      <c r="B29" s="1" t="s">
        <v>24</v>
      </c>
      <c r="K29" s="3"/>
      <c r="L29" s="3"/>
      <c r="AK29" s="37"/>
      <c r="AL29" s="37"/>
      <c r="AM29" s="37"/>
      <c r="AN29" s="37"/>
      <c r="AO29" s="37"/>
      <c r="AP29" s="37"/>
      <c r="AQ29" s="37"/>
      <c r="AR29" s="37"/>
      <c r="AS29" s="37"/>
      <c r="AT29" s="37"/>
      <c r="AU29" s="37"/>
      <c r="AW29" s="37"/>
      <c r="AX29" s="37"/>
      <c r="AY29" s="37"/>
      <c r="AZ29" s="37"/>
      <c r="BA29" s="37"/>
      <c r="BB29" s="37"/>
      <c r="BC29" s="37"/>
      <c r="BD29" s="37"/>
      <c r="BE29" s="37"/>
      <c r="BF29" s="37"/>
      <c r="BG29" s="37"/>
    </row>
    <row r="30" spans="2:67" ht="41.25" customHeight="1" x14ac:dyDescent="0.25">
      <c r="B30" s="57"/>
      <c r="C30" s="58"/>
      <c r="D30" s="58"/>
      <c r="E30" s="58"/>
      <c r="F30" s="58"/>
      <c r="G30" s="58"/>
      <c r="H30" s="58"/>
      <c r="I30" s="59"/>
      <c r="K30" s="3"/>
      <c r="L30" s="3"/>
      <c r="M30" s="3"/>
      <c r="N30" s="3"/>
      <c r="AK30" s="37"/>
      <c r="AL30" s="37"/>
      <c r="AM30" s="37"/>
      <c r="AN30" s="37"/>
      <c r="AO30" s="37"/>
      <c r="AP30" s="37"/>
      <c r="AQ30" s="37"/>
      <c r="AR30" s="37"/>
      <c r="AS30" s="37"/>
      <c r="AT30" s="37"/>
      <c r="AU30" s="37"/>
      <c r="AW30" s="37"/>
      <c r="AX30" s="37"/>
      <c r="AY30" s="37"/>
      <c r="AZ30" s="37"/>
      <c r="BA30" s="37"/>
      <c r="BB30" s="37"/>
      <c r="BC30" s="37"/>
      <c r="BD30" s="37"/>
      <c r="BE30" s="37"/>
      <c r="BF30" s="37"/>
      <c r="BG30" s="37"/>
    </row>
    <row r="31" spans="2:67" ht="12.75" customHeight="1" x14ac:dyDescent="0.25">
      <c r="K31" s="3"/>
      <c r="L31" s="3"/>
      <c r="M31" s="3"/>
      <c r="N31" s="3"/>
      <c r="AK31" s="37"/>
      <c r="AL31" s="37"/>
      <c r="AM31" s="37"/>
      <c r="AN31" s="37"/>
      <c r="AO31" s="37"/>
      <c r="AP31" s="37"/>
      <c r="AQ31" s="37"/>
      <c r="AR31" s="37"/>
      <c r="AS31" s="37"/>
      <c r="AT31" s="37"/>
      <c r="AU31" s="37"/>
      <c r="AW31" s="37"/>
      <c r="AX31" s="37"/>
      <c r="AY31" s="37"/>
      <c r="AZ31" s="37"/>
      <c r="BA31" s="37"/>
      <c r="BB31" s="37"/>
      <c r="BC31" s="37"/>
      <c r="BD31" s="37"/>
      <c r="BE31" s="37"/>
      <c r="BF31" s="37"/>
      <c r="BG31" s="37"/>
    </row>
    <row r="32" spans="2:67" ht="26.25" customHeight="1" x14ac:dyDescent="0.25">
      <c r="B32" s="56" t="s">
        <v>9</v>
      </c>
      <c r="C32" s="56"/>
      <c r="D32" s="56"/>
      <c r="E32" s="56"/>
      <c r="F32" s="56"/>
      <c r="G32" s="56"/>
      <c r="H32" s="56"/>
      <c r="I32" s="56"/>
      <c r="K32" s="3"/>
      <c r="L32" s="3"/>
      <c r="M32" s="3"/>
      <c r="N32" s="3"/>
      <c r="AK32" s="37"/>
      <c r="AL32" s="37"/>
      <c r="AM32" s="37"/>
      <c r="AN32" s="37"/>
      <c r="AO32" s="37"/>
      <c r="AP32" s="37"/>
      <c r="AQ32" s="37"/>
      <c r="AR32" s="37"/>
      <c r="AS32" s="37"/>
      <c r="AT32" s="37"/>
      <c r="AU32" s="37"/>
      <c r="AW32" s="37"/>
      <c r="AX32" s="37"/>
      <c r="AY32" s="37"/>
      <c r="AZ32" s="37"/>
      <c r="BA32" s="37"/>
      <c r="BB32" s="37"/>
      <c r="BC32" s="37"/>
      <c r="BD32" s="37"/>
      <c r="BE32" s="37"/>
      <c r="BF32" s="37"/>
      <c r="BG32" s="37"/>
    </row>
    <row r="33" spans="1:59" ht="12.75" customHeight="1" x14ac:dyDescent="0.25">
      <c r="K33" s="3"/>
      <c r="L33" s="3"/>
      <c r="M33" s="3"/>
      <c r="N33" s="3"/>
      <c r="AK33" s="37"/>
      <c r="AL33" s="37"/>
      <c r="AM33" s="37"/>
      <c r="AN33" s="37"/>
      <c r="AO33" s="37"/>
      <c r="AP33" s="37"/>
      <c r="AQ33" s="37"/>
      <c r="AR33" s="37"/>
      <c r="AS33" s="37"/>
      <c r="AT33" s="37"/>
      <c r="AU33" s="37"/>
      <c r="AW33" s="37"/>
      <c r="AX33" s="37"/>
      <c r="AY33" s="37"/>
      <c r="AZ33" s="37"/>
      <c r="BA33" s="37"/>
      <c r="BB33" s="37"/>
      <c r="BC33" s="37"/>
      <c r="BD33" s="37"/>
      <c r="BE33" s="37"/>
      <c r="BF33" s="37"/>
      <c r="BG33" s="37"/>
    </row>
    <row r="34" spans="1:59" ht="14.25" customHeight="1" x14ac:dyDescent="0.25">
      <c r="F34" s="5" t="s">
        <v>10</v>
      </c>
      <c r="G34" s="5"/>
      <c r="H34" s="5"/>
      <c r="I34" s="5"/>
      <c r="K34" s="3"/>
      <c r="L34" s="3"/>
      <c r="M34" s="3"/>
      <c r="N34" s="3"/>
      <c r="AK34" s="37"/>
      <c r="AL34" s="37"/>
      <c r="AM34" s="37"/>
      <c r="AN34" s="37"/>
      <c r="AO34" s="37"/>
      <c r="AP34" s="37"/>
      <c r="AQ34" s="37"/>
      <c r="AR34" s="37"/>
      <c r="AS34" s="37"/>
      <c r="AT34" s="37"/>
      <c r="AU34" s="37"/>
      <c r="AW34" s="37"/>
      <c r="AX34" s="37"/>
      <c r="AY34" s="37"/>
      <c r="AZ34" s="37"/>
      <c r="BA34" s="37"/>
      <c r="BB34" s="37"/>
      <c r="BC34" s="37"/>
      <c r="BD34" s="37"/>
      <c r="BE34" s="37"/>
      <c r="BF34" s="37"/>
      <c r="BG34" s="37"/>
    </row>
    <row r="35" spans="1:59" ht="14.25" customHeight="1" x14ac:dyDescent="0.25">
      <c r="F35" s="5" t="str">
        <f>LOGO &amp; ", Inc."</f>
        <v>Northclad, Inc.</v>
      </c>
      <c r="G35" s="5"/>
      <c r="H35" s="5"/>
      <c r="I35" s="5"/>
      <c r="K35" s="3"/>
      <c r="L35" s="3"/>
      <c r="M35" s="3"/>
      <c r="N35" s="3"/>
      <c r="AK35" s="37"/>
      <c r="AL35" s="37"/>
      <c r="AM35" s="37"/>
      <c r="AN35" s="37"/>
      <c r="AO35" s="37"/>
      <c r="AP35" s="37"/>
      <c r="AQ35" s="37"/>
      <c r="AR35" s="37"/>
      <c r="AS35" s="37"/>
      <c r="AT35" s="37"/>
      <c r="AU35" s="37"/>
      <c r="AW35" s="37"/>
      <c r="AX35" s="37"/>
      <c r="AY35" s="37"/>
      <c r="AZ35" s="37"/>
      <c r="BA35" s="37"/>
      <c r="BB35" s="37"/>
      <c r="BC35" s="37"/>
      <c r="BD35" s="37"/>
      <c r="BE35" s="37"/>
      <c r="BF35" s="37"/>
      <c r="BG35" s="37"/>
    </row>
    <row r="36" spans="1:59" ht="18" customHeight="1" x14ac:dyDescent="0.25">
      <c r="K36" s="3"/>
      <c r="L36" s="3"/>
      <c r="M36" s="3"/>
      <c r="N36" s="3"/>
      <c r="AK36" s="37"/>
      <c r="AL36" s="37"/>
      <c r="AM36" s="37"/>
      <c r="AN36" s="37"/>
      <c r="AO36" s="37"/>
      <c r="AP36" s="37"/>
      <c r="AQ36" s="37"/>
      <c r="AR36" s="37"/>
      <c r="AS36" s="37"/>
      <c r="AT36" s="37"/>
      <c r="AU36" s="37"/>
      <c r="AW36" s="37"/>
      <c r="AX36" s="37"/>
      <c r="AY36" s="37"/>
      <c r="AZ36" s="37"/>
      <c r="BA36" s="37"/>
      <c r="BB36" s="37"/>
      <c r="BC36" s="37"/>
      <c r="BD36" s="37"/>
      <c r="BE36" s="37"/>
      <c r="BF36" s="37"/>
      <c r="BG36" s="37"/>
    </row>
    <row r="37" spans="1:59" ht="15" customHeight="1" x14ac:dyDescent="0.25">
      <c r="D37" s="7" t="s">
        <v>11</v>
      </c>
      <c r="E37" s="7"/>
      <c r="F37" s="51"/>
      <c r="G37" s="51"/>
      <c r="H37" s="51"/>
      <c r="I37" s="30" t="s">
        <v>38</v>
      </c>
      <c r="K37" s="3"/>
      <c r="L37" s="45"/>
      <c r="M37" s="45"/>
      <c r="N37" s="45"/>
      <c r="O37" s="45"/>
      <c r="P37" s="45"/>
      <c r="Q37" s="45"/>
      <c r="R37" s="45"/>
      <c r="S37" s="45"/>
      <c r="AK37" s="37"/>
      <c r="AL37" s="37"/>
      <c r="AM37" s="37"/>
      <c r="AN37" s="37"/>
      <c r="AO37" s="37"/>
      <c r="AP37" s="37"/>
      <c r="AQ37" s="37"/>
      <c r="AR37" s="37"/>
      <c r="AS37" s="37"/>
      <c r="AT37" s="37"/>
      <c r="AU37" s="37"/>
      <c r="AW37" s="37"/>
      <c r="AX37" s="37"/>
      <c r="AY37" s="37"/>
      <c r="AZ37" s="37"/>
      <c r="BA37" s="37"/>
      <c r="BB37" s="37"/>
      <c r="BC37" s="37"/>
      <c r="BD37" s="37"/>
      <c r="BE37" s="37"/>
      <c r="BF37" s="37"/>
      <c r="BG37" s="37"/>
    </row>
    <row r="38" spans="1:59" ht="14.25" customHeight="1" x14ac:dyDescent="0.25">
      <c r="F38" s="13"/>
      <c r="G38" s="13"/>
      <c r="H38" s="13"/>
      <c r="I38" s="29"/>
      <c r="K38" s="3"/>
      <c r="L38" s="45"/>
      <c r="M38" s="45"/>
      <c r="N38" s="45"/>
      <c r="O38" s="45"/>
      <c r="P38" s="45"/>
      <c r="Q38" s="45"/>
      <c r="R38" s="45"/>
      <c r="S38" s="45"/>
      <c r="AK38" s="37"/>
      <c r="AL38" s="37"/>
      <c r="AM38" s="37"/>
      <c r="AN38" s="37"/>
      <c r="AO38" s="37"/>
      <c r="AP38" s="37"/>
      <c r="AQ38" s="37"/>
      <c r="AR38" s="37"/>
      <c r="AS38" s="37"/>
      <c r="AT38" s="37"/>
      <c r="AU38" s="37"/>
      <c r="AW38" s="37"/>
      <c r="AX38" s="37"/>
      <c r="AY38" s="37"/>
      <c r="AZ38" s="37"/>
      <c r="BA38" s="37"/>
      <c r="BB38" s="37"/>
      <c r="BC38" s="37"/>
      <c r="BD38" s="37"/>
      <c r="BE38" s="37"/>
      <c r="BF38" s="37"/>
      <c r="BG38" s="37"/>
    </row>
    <row r="39" spans="1:59" ht="17.25" customHeight="1" x14ac:dyDescent="0.25">
      <c r="D39" s="7" t="s">
        <v>12</v>
      </c>
      <c r="E39" s="7"/>
      <c r="F39" s="51"/>
      <c r="G39" s="51"/>
      <c r="H39" s="51"/>
      <c r="I39" s="30" t="s">
        <v>39</v>
      </c>
      <c r="K39" s="3"/>
      <c r="L39" s="45"/>
      <c r="M39" s="45"/>
      <c r="N39" s="45"/>
      <c r="O39" s="45"/>
      <c r="P39" s="45"/>
      <c r="Q39" s="45"/>
      <c r="R39" s="45"/>
      <c r="S39" s="45"/>
      <c r="AK39" s="37"/>
      <c r="AL39" s="37"/>
      <c r="AM39" s="37"/>
      <c r="AN39" s="37"/>
      <c r="AO39" s="37"/>
      <c r="AP39" s="37"/>
      <c r="AQ39" s="37"/>
      <c r="AR39" s="37"/>
      <c r="AS39" s="37"/>
      <c r="AT39" s="37"/>
      <c r="AU39" s="37"/>
      <c r="AW39" s="37"/>
      <c r="AX39" s="37"/>
      <c r="AY39" s="37"/>
      <c r="AZ39" s="37"/>
      <c r="BA39" s="37"/>
      <c r="BB39" s="37"/>
      <c r="BC39" s="37"/>
      <c r="BD39" s="37"/>
      <c r="BE39" s="37"/>
      <c r="BF39" s="37"/>
      <c r="BG39" s="37"/>
    </row>
    <row r="40" spans="1:59" ht="15" customHeight="1" x14ac:dyDescent="0.25">
      <c r="F40" s="13"/>
      <c r="G40" s="13"/>
      <c r="H40" s="13"/>
      <c r="I40" s="13"/>
      <c r="K40" s="3"/>
      <c r="L40" s="3"/>
      <c r="M40" s="3"/>
      <c r="N40" s="3"/>
      <c r="AK40" s="37"/>
      <c r="AL40" s="37"/>
      <c r="AM40" s="37"/>
      <c r="AN40" s="37"/>
      <c r="AO40" s="37"/>
      <c r="AP40" s="37"/>
      <c r="AQ40" s="37"/>
      <c r="AR40" s="37"/>
      <c r="AS40" s="37"/>
      <c r="AT40" s="37"/>
      <c r="AU40" s="37"/>
      <c r="AW40" s="37"/>
      <c r="AX40" s="37"/>
      <c r="AY40" s="37"/>
      <c r="AZ40" s="37"/>
      <c r="BA40" s="37"/>
      <c r="BB40" s="37"/>
      <c r="BC40" s="37"/>
      <c r="BD40" s="37"/>
      <c r="BE40" s="37"/>
      <c r="BF40" s="37"/>
      <c r="BG40" s="37"/>
    </row>
    <row r="41" spans="1:59" ht="15" customHeight="1" x14ac:dyDescent="0.25">
      <c r="A41" s="36" t="str">
        <f>LOGO &amp; ", Inc."</f>
        <v>Northclad, Inc.</v>
      </c>
      <c r="B41" s="36"/>
      <c r="C41" s="36"/>
      <c r="D41" s="36"/>
      <c r="E41" s="36"/>
      <c r="F41" s="36"/>
      <c r="G41" s="36"/>
      <c r="H41" s="36"/>
      <c r="I41" s="36"/>
      <c r="J41" s="36"/>
      <c r="K41" s="36"/>
      <c r="L41" s="3"/>
      <c r="M41" s="3"/>
      <c r="N41" s="3"/>
      <c r="AK41" s="37"/>
      <c r="AL41" s="37"/>
      <c r="AM41" s="37"/>
      <c r="AN41" s="37"/>
      <c r="AO41" s="37"/>
      <c r="AP41" s="37"/>
      <c r="AQ41" s="37"/>
      <c r="AR41" s="37"/>
      <c r="AS41" s="37"/>
      <c r="AT41" s="37"/>
      <c r="AU41" s="37"/>
      <c r="AW41" s="37"/>
      <c r="AX41" s="37"/>
      <c r="AY41" s="37"/>
      <c r="AZ41" s="37"/>
      <c r="BA41" s="37"/>
      <c r="BB41" s="37"/>
      <c r="BC41" s="37"/>
      <c r="BD41" s="37"/>
      <c r="BE41" s="37"/>
      <c r="BF41" s="37"/>
      <c r="BG41" s="37"/>
    </row>
    <row r="42" spans="1:59" ht="21" customHeight="1" x14ac:dyDescent="0.25">
      <c r="A42" s="36" t="s">
        <v>50</v>
      </c>
      <c r="B42" s="36"/>
      <c r="C42" s="36"/>
      <c r="D42" s="36"/>
      <c r="E42" s="36"/>
      <c r="F42" s="36"/>
      <c r="G42" s="36"/>
      <c r="H42" s="36"/>
      <c r="I42" s="36"/>
      <c r="J42" s="36"/>
      <c r="K42" s="36"/>
      <c r="L42" s="3"/>
      <c r="M42" s="3"/>
      <c r="N42" s="3"/>
      <c r="AK42" s="37"/>
      <c r="AL42" s="37"/>
      <c r="AM42" s="37"/>
      <c r="AN42" s="37"/>
      <c r="AO42" s="37"/>
      <c r="AP42" s="37"/>
      <c r="AQ42" s="37"/>
      <c r="AR42" s="37"/>
      <c r="AS42" s="37"/>
      <c r="AT42" s="37"/>
      <c r="AU42" s="37"/>
      <c r="AW42" s="37"/>
      <c r="AX42" s="37"/>
      <c r="AY42" s="37"/>
      <c r="AZ42" s="37"/>
      <c r="BA42" s="37"/>
      <c r="BB42" s="37"/>
      <c r="BC42" s="37"/>
      <c r="BD42" s="37"/>
      <c r="BE42" s="37"/>
      <c r="BF42" s="37"/>
      <c r="BG42" s="37"/>
    </row>
    <row r="43" spans="1:59" ht="23.25" customHeight="1" x14ac:dyDescent="0.25">
      <c r="A43" s="37" t="s">
        <v>124</v>
      </c>
      <c r="B43" s="37"/>
      <c r="C43" s="37"/>
      <c r="D43" s="37"/>
      <c r="E43" s="37"/>
      <c r="F43" s="37"/>
      <c r="G43" s="37"/>
      <c r="H43" s="37"/>
      <c r="I43" s="37"/>
      <c r="J43" s="37"/>
      <c r="K43" s="37"/>
      <c r="AH43" s="34"/>
      <c r="AI43" s="34"/>
      <c r="AJ43" s="34"/>
      <c r="AK43" s="37"/>
      <c r="AL43" s="37"/>
      <c r="AM43" s="37"/>
      <c r="AN43" s="37"/>
      <c r="AO43" s="37"/>
      <c r="AP43" s="37"/>
      <c r="AQ43" s="37"/>
      <c r="AR43" s="37"/>
      <c r="AS43" s="37"/>
      <c r="AT43" s="37"/>
      <c r="AU43" s="37"/>
      <c r="AW43" s="37"/>
      <c r="AX43" s="37"/>
      <c r="AY43" s="37"/>
      <c r="AZ43" s="37"/>
      <c r="BA43" s="37"/>
      <c r="BB43" s="37"/>
      <c r="BC43" s="37"/>
      <c r="BD43" s="37"/>
      <c r="BE43" s="37"/>
      <c r="BF43" s="37"/>
      <c r="BG43" s="37"/>
    </row>
    <row r="44" spans="1:59" ht="15" customHeight="1" x14ac:dyDescent="0.25">
      <c r="A44" s="37"/>
      <c r="B44" s="37"/>
      <c r="C44" s="37"/>
      <c r="D44" s="37"/>
      <c r="E44" s="37"/>
      <c r="F44" s="37"/>
      <c r="G44" s="37"/>
      <c r="H44" s="37"/>
      <c r="I44" s="37"/>
      <c r="J44" s="37"/>
      <c r="K44" s="37"/>
      <c r="AG44" s="34"/>
      <c r="AH44" s="34"/>
      <c r="AI44" s="34"/>
      <c r="AJ44" s="34"/>
      <c r="AK44" s="37"/>
      <c r="AL44" s="37"/>
      <c r="AM44" s="37"/>
      <c r="AN44" s="37"/>
      <c r="AO44" s="37"/>
      <c r="AP44" s="37"/>
      <c r="AQ44" s="37"/>
      <c r="AR44" s="37"/>
      <c r="AS44" s="37"/>
      <c r="AT44" s="37"/>
      <c r="AU44" s="37"/>
      <c r="AW44" s="37"/>
      <c r="AX44" s="37"/>
      <c r="AY44" s="37"/>
      <c r="AZ44" s="37"/>
      <c r="BA44" s="37"/>
      <c r="BB44" s="37"/>
      <c r="BC44" s="37"/>
      <c r="BD44" s="37"/>
      <c r="BE44" s="37"/>
      <c r="BF44" s="37"/>
      <c r="BG44" s="37"/>
    </row>
    <row r="45" spans="1:59" x14ac:dyDescent="0.25">
      <c r="A45" s="37"/>
      <c r="B45" s="37"/>
      <c r="C45" s="37"/>
      <c r="D45" s="37"/>
      <c r="E45" s="37"/>
      <c r="F45" s="37"/>
      <c r="G45" s="37"/>
      <c r="H45" s="37"/>
      <c r="I45" s="37"/>
      <c r="J45" s="37"/>
      <c r="K45" s="37"/>
      <c r="AG45" s="34"/>
      <c r="AH45" s="34"/>
      <c r="AI45" s="34"/>
      <c r="AJ45" s="34"/>
      <c r="AK45" s="37"/>
      <c r="AL45" s="37"/>
      <c r="AM45" s="37"/>
      <c r="AN45" s="37"/>
      <c r="AO45" s="37"/>
      <c r="AP45" s="37"/>
      <c r="AQ45" s="37"/>
      <c r="AR45" s="37"/>
      <c r="AS45" s="37"/>
      <c r="AT45" s="37"/>
      <c r="AU45" s="37"/>
      <c r="AW45" s="37"/>
      <c r="AX45" s="37"/>
      <c r="AY45" s="37"/>
      <c r="AZ45" s="37"/>
      <c r="BA45" s="37"/>
      <c r="BB45" s="37"/>
      <c r="BC45" s="37"/>
      <c r="BD45" s="37"/>
      <c r="BE45" s="37"/>
      <c r="BF45" s="37"/>
      <c r="BG45" s="37"/>
    </row>
    <row r="46" spans="1:59" x14ac:dyDescent="0.25">
      <c r="A46" s="37"/>
      <c r="B46" s="37"/>
      <c r="C46" s="37"/>
      <c r="D46" s="37"/>
      <c r="E46" s="37"/>
      <c r="F46" s="37"/>
      <c r="G46" s="37"/>
      <c r="H46" s="37"/>
      <c r="I46" s="37"/>
      <c r="J46" s="37"/>
      <c r="K46" s="37"/>
      <c r="AG46" s="34"/>
      <c r="AH46" s="34"/>
      <c r="AI46" s="34"/>
      <c r="AJ46" s="34"/>
      <c r="AK46" s="37"/>
      <c r="AL46" s="37"/>
      <c r="AM46" s="37"/>
      <c r="AN46" s="37"/>
      <c r="AO46" s="37"/>
      <c r="AP46" s="37"/>
      <c r="AQ46" s="37"/>
      <c r="AR46" s="37"/>
      <c r="AS46" s="37"/>
      <c r="AT46" s="37"/>
      <c r="AU46" s="37"/>
      <c r="AW46" s="37"/>
      <c r="AX46" s="37"/>
      <c r="AY46" s="37"/>
      <c r="AZ46" s="37"/>
      <c r="BA46" s="37"/>
      <c r="BB46" s="37"/>
      <c r="BC46" s="37"/>
      <c r="BD46" s="37"/>
      <c r="BE46" s="37"/>
      <c r="BF46" s="37"/>
      <c r="BG46" s="37"/>
    </row>
    <row r="47" spans="1:59" x14ac:dyDescent="0.25">
      <c r="A47" s="37"/>
      <c r="B47" s="37"/>
      <c r="C47" s="37"/>
      <c r="D47" s="37"/>
      <c r="E47" s="37"/>
      <c r="F47" s="37"/>
      <c r="G47" s="37"/>
      <c r="H47" s="37"/>
      <c r="I47" s="37"/>
      <c r="J47" s="37"/>
      <c r="K47" s="37"/>
      <c r="AG47" s="34"/>
      <c r="AH47" s="34"/>
      <c r="AI47" s="34"/>
      <c r="AJ47" s="34"/>
      <c r="AK47" s="34"/>
      <c r="AL47" s="34"/>
      <c r="AM47" s="34"/>
      <c r="AN47" s="34"/>
      <c r="AO47" s="34"/>
      <c r="AP47" s="34"/>
      <c r="AQ47" s="34"/>
    </row>
    <row r="48" spans="1:59" x14ac:dyDescent="0.25">
      <c r="A48" s="37"/>
      <c r="B48" s="37"/>
      <c r="C48" s="37"/>
      <c r="D48" s="37"/>
      <c r="E48" s="37"/>
      <c r="F48" s="37"/>
      <c r="G48" s="37"/>
      <c r="H48" s="37"/>
      <c r="I48" s="37"/>
      <c r="J48" s="37"/>
      <c r="K48" s="37"/>
      <c r="AG48" s="34"/>
      <c r="AH48" s="34"/>
      <c r="AI48" s="34"/>
      <c r="AJ48" s="34"/>
      <c r="AK48" s="34"/>
      <c r="AL48" s="34"/>
      <c r="AM48" s="34"/>
      <c r="AN48" s="34"/>
      <c r="AO48" s="34"/>
      <c r="AP48" s="34"/>
      <c r="AQ48" s="34"/>
    </row>
    <row r="49" spans="1:43" x14ac:dyDescent="0.25">
      <c r="A49" s="37"/>
      <c r="B49" s="37"/>
      <c r="C49" s="37"/>
      <c r="D49" s="37"/>
      <c r="E49" s="37"/>
      <c r="F49" s="37"/>
      <c r="G49" s="37"/>
      <c r="H49" s="37"/>
      <c r="I49" s="37"/>
      <c r="J49" s="37"/>
      <c r="K49" s="37"/>
      <c r="AG49" s="34"/>
      <c r="AH49" s="34"/>
      <c r="AI49" s="34"/>
      <c r="AJ49" s="34"/>
      <c r="AK49" s="34"/>
      <c r="AL49" s="34"/>
      <c r="AM49" s="34"/>
      <c r="AN49" s="34"/>
      <c r="AO49" s="34"/>
      <c r="AP49" s="34"/>
      <c r="AQ49" s="34"/>
    </row>
    <row r="50" spans="1:43" x14ac:dyDescent="0.25">
      <c r="A50" s="37"/>
      <c r="B50" s="37"/>
      <c r="C50" s="37"/>
      <c r="D50" s="37"/>
      <c r="E50" s="37"/>
      <c r="F50" s="37"/>
      <c r="G50" s="37"/>
      <c r="H50" s="37"/>
      <c r="I50" s="37"/>
      <c r="J50" s="37"/>
      <c r="K50" s="37"/>
      <c r="AG50" s="34"/>
      <c r="AH50" s="34"/>
      <c r="AI50" s="34"/>
      <c r="AJ50" s="34"/>
      <c r="AK50" s="34"/>
      <c r="AL50" s="34"/>
      <c r="AM50" s="34"/>
      <c r="AN50" s="34"/>
      <c r="AO50" s="34"/>
      <c r="AP50" s="34"/>
      <c r="AQ50" s="34"/>
    </row>
    <row r="51" spans="1:43" x14ac:dyDescent="0.25">
      <c r="A51" s="37"/>
      <c r="B51" s="37"/>
      <c r="C51" s="37"/>
      <c r="D51" s="37"/>
      <c r="E51" s="37"/>
      <c r="F51" s="37"/>
      <c r="G51" s="37"/>
      <c r="H51" s="37"/>
      <c r="I51" s="37"/>
      <c r="J51" s="37"/>
      <c r="K51" s="37"/>
      <c r="AG51" s="34"/>
      <c r="AH51" s="34"/>
      <c r="AI51" s="34"/>
      <c r="AJ51" s="34"/>
      <c r="AK51" s="34"/>
      <c r="AL51" s="34"/>
      <c r="AM51" s="34"/>
      <c r="AN51" s="34"/>
      <c r="AO51" s="34"/>
      <c r="AP51" s="34"/>
      <c r="AQ51" s="34"/>
    </row>
    <row r="52" spans="1:43" x14ac:dyDescent="0.25">
      <c r="A52" s="37"/>
      <c r="B52" s="37"/>
      <c r="C52" s="37"/>
      <c r="D52" s="37"/>
      <c r="E52" s="37"/>
      <c r="F52" s="37"/>
      <c r="G52" s="37"/>
      <c r="H52" s="37"/>
      <c r="I52" s="37"/>
      <c r="J52" s="37"/>
      <c r="K52" s="37"/>
      <c r="AG52" s="34"/>
      <c r="AH52" s="34"/>
      <c r="AI52" s="34"/>
      <c r="AJ52" s="34"/>
      <c r="AK52" s="34"/>
      <c r="AL52" s="34"/>
      <c r="AM52" s="34"/>
      <c r="AN52" s="34"/>
      <c r="AO52" s="34"/>
      <c r="AP52" s="34"/>
      <c r="AQ52" s="34"/>
    </row>
    <row r="53" spans="1:43" x14ac:dyDescent="0.25">
      <c r="A53" s="37"/>
      <c r="B53" s="37"/>
      <c r="C53" s="37"/>
      <c r="D53" s="37"/>
      <c r="E53" s="37"/>
      <c r="F53" s="37"/>
      <c r="G53" s="37"/>
      <c r="H53" s="37"/>
      <c r="I53" s="37"/>
      <c r="J53" s="37"/>
      <c r="K53" s="37"/>
      <c r="AG53" s="34"/>
      <c r="AH53" s="34"/>
      <c r="AI53" s="34"/>
      <c r="AJ53" s="34"/>
      <c r="AK53" s="34"/>
      <c r="AL53" s="34"/>
      <c r="AM53" s="34"/>
      <c r="AN53" s="34"/>
      <c r="AO53" s="34"/>
      <c r="AP53" s="34"/>
      <c r="AQ53" s="34"/>
    </row>
    <row r="54" spans="1:43" x14ac:dyDescent="0.25">
      <c r="A54" s="37"/>
      <c r="B54" s="37"/>
      <c r="C54" s="37"/>
      <c r="D54" s="37"/>
      <c r="E54" s="37"/>
      <c r="F54" s="37"/>
      <c r="G54" s="37"/>
      <c r="H54" s="37"/>
      <c r="I54" s="37"/>
      <c r="J54" s="37"/>
      <c r="K54" s="37"/>
      <c r="AG54" s="34"/>
      <c r="AH54" s="34"/>
      <c r="AI54" s="34"/>
      <c r="AJ54" s="34"/>
      <c r="AK54" s="34"/>
      <c r="AL54" s="34"/>
      <c r="AM54" s="34"/>
      <c r="AN54" s="34"/>
      <c r="AO54" s="34"/>
      <c r="AP54" s="34"/>
      <c r="AQ54" s="34"/>
    </row>
    <row r="55" spans="1:43" x14ac:dyDescent="0.25">
      <c r="A55" s="37"/>
      <c r="B55" s="37"/>
      <c r="C55" s="37"/>
      <c r="D55" s="37"/>
      <c r="E55" s="37"/>
      <c r="F55" s="37"/>
      <c r="G55" s="37"/>
      <c r="H55" s="37"/>
      <c r="I55" s="37"/>
      <c r="J55" s="37"/>
      <c r="K55" s="37"/>
      <c r="AG55" s="34"/>
      <c r="AH55" s="34"/>
      <c r="AI55" s="34"/>
      <c r="AJ55" s="34"/>
      <c r="AK55" s="34"/>
      <c r="AL55" s="34"/>
      <c r="AM55" s="34"/>
      <c r="AN55" s="34"/>
      <c r="AO55" s="34"/>
      <c r="AP55" s="34"/>
      <c r="AQ55" s="34"/>
    </row>
    <row r="56" spans="1:43" x14ac:dyDescent="0.25">
      <c r="A56" s="37"/>
      <c r="B56" s="37"/>
      <c r="C56" s="37"/>
      <c r="D56" s="37"/>
      <c r="E56" s="37"/>
      <c r="F56" s="37"/>
      <c r="G56" s="37"/>
      <c r="H56" s="37"/>
      <c r="I56" s="37"/>
      <c r="J56" s="37"/>
      <c r="K56" s="37"/>
      <c r="AG56" s="34"/>
      <c r="AH56" s="34"/>
      <c r="AI56" s="34"/>
      <c r="AJ56" s="34"/>
      <c r="AK56" s="34"/>
      <c r="AL56" s="34"/>
      <c r="AM56" s="34"/>
      <c r="AN56" s="34"/>
      <c r="AO56" s="34"/>
      <c r="AP56" s="34"/>
      <c r="AQ56" s="34"/>
    </row>
    <row r="57" spans="1:43" x14ac:dyDescent="0.25">
      <c r="A57" s="37"/>
      <c r="B57" s="37"/>
      <c r="C57" s="37"/>
      <c r="D57" s="37"/>
      <c r="E57" s="37"/>
      <c r="F57" s="37"/>
      <c r="G57" s="37"/>
      <c r="H57" s="37"/>
      <c r="I57" s="37"/>
      <c r="J57" s="37"/>
      <c r="K57" s="37"/>
      <c r="AG57" s="34"/>
      <c r="AH57" s="34"/>
      <c r="AI57" s="34"/>
      <c r="AJ57" s="34"/>
      <c r="AK57" s="34"/>
      <c r="AL57" s="34"/>
      <c r="AM57" s="34"/>
      <c r="AN57" s="34"/>
      <c r="AO57" s="34"/>
      <c r="AP57" s="34"/>
      <c r="AQ57" s="34"/>
    </row>
    <row r="58" spans="1:43" x14ac:dyDescent="0.25">
      <c r="A58" s="37"/>
      <c r="B58" s="37"/>
      <c r="C58" s="37"/>
      <c r="D58" s="37"/>
      <c r="E58" s="37"/>
      <c r="F58" s="37"/>
      <c r="G58" s="37"/>
      <c r="H58" s="37"/>
      <c r="I58" s="37"/>
      <c r="J58" s="37"/>
      <c r="K58" s="37"/>
      <c r="AG58" s="34"/>
      <c r="AH58" s="34"/>
      <c r="AI58" s="34"/>
      <c r="AJ58" s="34"/>
      <c r="AK58" s="34"/>
      <c r="AL58" s="34"/>
      <c r="AM58" s="34"/>
      <c r="AN58" s="34"/>
      <c r="AO58" s="34"/>
      <c r="AP58" s="34"/>
      <c r="AQ58" s="34"/>
    </row>
    <row r="59" spans="1:43" x14ac:dyDescent="0.25">
      <c r="A59" s="37"/>
      <c r="B59" s="37"/>
      <c r="C59" s="37"/>
      <c r="D59" s="37"/>
      <c r="E59" s="37"/>
      <c r="F59" s="37"/>
      <c r="G59" s="37"/>
      <c r="H59" s="37"/>
      <c r="I59" s="37"/>
      <c r="J59" s="37"/>
      <c r="K59" s="37"/>
      <c r="AG59" s="34"/>
      <c r="AH59" s="34"/>
      <c r="AI59" s="34"/>
      <c r="AJ59" s="34"/>
      <c r="AK59" s="34"/>
      <c r="AL59" s="34"/>
      <c r="AM59" s="34"/>
      <c r="AN59" s="34"/>
      <c r="AO59" s="34"/>
      <c r="AP59" s="34"/>
      <c r="AQ59" s="34"/>
    </row>
    <row r="60" spans="1:43" x14ac:dyDescent="0.25">
      <c r="A60" s="37"/>
      <c r="B60" s="37"/>
      <c r="C60" s="37"/>
      <c r="D60" s="37"/>
      <c r="E60" s="37"/>
      <c r="F60" s="37"/>
      <c r="G60" s="37"/>
      <c r="H60" s="37"/>
      <c r="I60" s="37"/>
      <c r="J60" s="37"/>
      <c r="K60" s="37"/>
      <c r="AG60" s="34"/>
      <c r="AH60" s="34"/>
      <c r="AI60" s="34"/>
      <c r="AJ60" s="34"/>
      <c r="AK60" s="34"/>
      <c r="AL60" s="34"/>
      <c r="AM60" s="34"/>
      <c r="AN60" s="34"/>
      <c r="AO60" s="34"/>
      <c r="AP60" s="34"/>
      <c r="AQ60" s="34"/>
    </row>
    <row r="61" spans="1:43" x14ac:dyDescent="0.25">
      <c r="A61" s="37"/>
      <c r="B61" s="37"/>
      <c r="C61" s="37"/>
      <c r="D61" s="37"/>
      <c r="E61" s="37"/>
      <c r="F61" s="37"/>
      <c r="G61" s="37"/>
      <c r="H61" s="37"/>
      <c r="I61" s="37"/>
      <c r="J61" s="37"/>
      <c r="K61" s="37"/>
      <c r="AG61" s="34"/>
      <c r="AH61" s="34"/>
      <c r="AI61" s="34"/>
      <c r="AJ61" s="34"/>
      <c r="AK61" s="34"/>
      <c r="AL61" s="34"/>
      <c r="AM61" s="34"/>
      <c r="AN61" s="34"/>
      <c r="AO61" s="34"/>
      <c r="AP61" s="34"/>
      <c r="AQ61" s="34"/>
    </row>
    <row r="62" spans="1:43" x14ac:dyDescent="0.25">
      <c r="A62" s="37"/>
      <c r="B62" s="37"/>
      <c r="C62" s="37"/>
      <c r="D62" s="37"/>
      <c r="E62" s="37"/>
      <c r="F62" s="37"/>
      <c r="G62" s="37"/>
      <c r="H62" s="37"/>
      <c r="I62" s="37"/>
      <c r="J62" s="37"/>
      <c r="K62" s="37"/>
      <c r="AG62" s="34"/>
      <c r="AH62" s="34"/>
      <c r="AI62" s="34"/>
      <c r="AJ62" s="34"/>
      <c r="AK62" s="34"/>
      <c r="AL62" s="34"/>
      <c r="AM62" s="34"/>
      <c r="AN62" s="34"/>
      <c r="AO62" s="34"/>
      <c r="AP62" s="34"/>
      <c r="AQ62" s="34"/>
    </row>
    <row r="63" spans="1:43" x14ac:dyDescent="0.25">
      <c r="A63" s="37"/>
      <c r="B63" s="37"/>
      <c r="C63" s="37"/>
      <c r="D63" s="37"/>
      <c r="E63" s="37"/>
      <c r="F63" s="37"/>
      <c r="G63" s="37"/>
      <c r="H63" s="37"/>
      <c r="I63" s="37"/>
      <c r="J63" s="37"/>
      <c r="K63" s="37"/>
      <c r="AG63" s="34"/>
      <c r="AH63" s="34"/>
      <c r="AI63" s="34"/>
      <c r="AJ63" s="34"/>
      <c r="AK63" s="34"/>
      <c r="AL63" s="34"/>
      <c r="AM63" s="34"/>
      <c r="AN63" s="34"/>
      <c r="AO63" s="34"/>
      <c r="AP63" s="34"/>
      <c r="AQ63" s="34"/>
    </row>
    <row r="64" spans="1:43" x14ac:dyDescent="0.25">
      <c r="A64" s="37"/>
      <c r="B64" s="37"/>
      <c r="C64" s="37"/>
      <c r="D64" s="37"/>
      <c r="E64" s="37"/>
      <c r="F64" s="37"/>
      <c r="G64" s="37"/>
      <c r="H64" s="37"/>
      <c r="I64" s="37"/>
      <c r="J64" s="37"/>
      <c r="K64" s="37"/>
      <c r="AG64" s="34"/>
      <c r="AH64" s="34"/>
      <c r="AI64" s="34"/>
      <c r="AJ64" s="34"/>
      <c r="AK64" s="34"/>
      <c r="AL64" s="34"/>
      <c r="AM64" s="34"/>
      <c r="AN64" s="34"/>
      <c r="AO64" s="34"/>
      <c r="AP64" s="34"/>
      <c r="AQ64" s="34"/>
    </row>
    <row r="65" spans="1:43" x14ac:dyDescent="0.25">
      <c r="A65" s="37"/>
      <c r="B65" s="37"/>
      <c r="C65" s="37"/>
      <c r="D65" s="37"/>
      <c r="E65" s="37"/>
      <c r="F65" s="37"/>
      <c r="G65" s="37"/>
      <c r="H65" s="37"/>
      <c r="I65" s="37"/>
      <c r="J65" s="37"/>
      <c r="K65" s="37"/>
      <c r="AG65" s="34"/>
      <c r="AH65" s="34"/>
      <c r="AI65" s="34"/>
      <c r="AJ65" s="34"/>
      <c r="AK65" s="34"/>
      <c r="AL65" s="34"/>
      <c r="AM65" s="34"/>
      <c r="AN65" s="34"/>
      <c r="AO65" s="34"/>
      <c r="AP65" s="34"/>
      <c r="AQ65" s="34"/>
    </row>
    <row r="66" spans="1:43" x14ac:dyDescent="0.25">
      <c r="A66" s="37"/>
      <c r="B66" s="37"/>
      <c r="C66" s="37"/>
      <c r="D66" s="37"/>
      <c r="E66" s="37"/>
      <c r="F66" s="37"/>
      <c r="G66" s="37"/>
      <c r="H66" s="37"/>
      <c r="I66" s="37"/>
      <c r="J66" s="37"/>
      <c r="K66" s="37"/>
      <c r="AG66" s="34"/>
      <c r="AH66" s="34"/>
      <c r="AI66" s="34"/>
      <c r="AJ66" s="34"/>
      <c r="AK66" s="34"/>
      <c r="AL66" s="34"/>
      <c r="AM66" s="34"/>
      <c r="AN66" s="34"/>
      <c r="AO66" s="34"/>
      <c r="AP66" s="34"/>
      <c r="AQ66" s="34"/>
    </row>
    <row r="67" spans="1:43" x14ac:dyDescent="0.25">
      <c r="A67" s="37"/>
      <c r="B67" s="37"/>
      <c r="C67" s="37"/>
      <c r="D67" s="37"/>
      <c r="E67" s="37"/>
      <c r="F67" s="37"/>
      <c r="G67" s="37"/>
      <c r="H67" s="37"/>
      <c r="I67" s="37"/>
      <c r="J67" s="37"/>
      <c r="K67" s="37"/>
      <c r="AG67" s="34"/>
      <c r="AH67" s="34"/>
      <c r="AI67" s="34"/>
      <c r="AJ67" s="34"/>
      <c r="AK67" s="34"/>
      <c r="AL67" s="34"/>
      <c r="AM67" s="34"/>
      <c r="AN67" s="34"/>
      <c r="AO67" s="34"/>
      <c r="AP67" s="34"/>
      <c r="AQ67" s="34"/>
    </row>
    <row r="68" spans="1:43" x14ac:dyDescent="0.25">
      <c r="A68" s="37"/>
      <c r="B68" s="37"/>
      <c r="C68" s="37"/>
      <c r="D68" s="37"/>
      <c r="E68" s="37"/>
      <c r="F68" s="37"/>
      <c r="G68" s="37"/>
      <c r="H68" s="37"/>
      <c r="I68" s="37"/>
      <c r="J68" s="37"/>
      <c r="K68" s="37"/>
      <c r="AG68" s="34"/>
      <c r="AH68" s="34"/>
      <c r="AI68" s="34"/>
      <c r="AJ68" s="34"/>
      <c r="AK68" s="34"/>
      <c r="AL68" s="34"/>
      <c r="AM68" s="34"/>
      <c r="AN68" s="34"/>
      <c r="AO68" s="34"/>
      <c r="AP68" s="34"/>
      <c r="AQ68" s="34"/>
    </row>
    <row r="69" spans="1:43" x14ac:dyDescent="0.25">
      <c r="A69" s="37"/>
      <c r="B69" s="37"/>
      <c r="C69" s="37"/>
      <c r="D69" s="37"/>
      <c r="E69" s="37"/>
      <c r="F69" s="37"/>
      <c r="G69" s="37"/>
      <c r="H69" s="37"/>
      <c r="I69" s="37"/>
      <c r="J69" s="37"/>
      <c r="K69" s="37"/>
      <c r="AG69" s="34"/>
      <c r="AH69" s="34"/>
      <c r="AI69" s="34"/>
      <c r="AJ69" s="34"/>
      <c r="AK69" s="34"/>
      <c r="AL69" s="34"/>
      <c r="AM69" s="34"/>
      <c r="AN69" s="34"/>
      <c r="AO69" s="34"/>
      <c r="AP69" s="34"/>
      <c r="AQ69" s="34"/>
    </row>
    <row r="70" spans="1:43" x14ac:dyDescent="0.25">
      <c r="A70" s="37"/>
      <c r="B70" s="37"/>
      <c r="C70" s="37"/>
      <c r="D70" s="37"/>
      <c r="E70" s="37"/>
      <c r="F70" s="37"/>
      <c r="G70" s="37"/>
      <c r="H70" s="37"/>
      <c r="I70" s="37"/>
      <c r="J70" s="37"/>
      <c r="K70" s="37"/>
      <c r="AG70" s="34"/>
      <c r="AH70" s="34"/>
      <c r="AI70" s="34"/>
      <c r="AJ70" s="34"/>
      <c r="AK70" s="34"/>
      <c r="AL70" s="34"/>
      <c r="AM70" s="34"/>
      <c r="AN70" s="34"/>
      <c r="AO70" s="34"/>
      <c r="AP70" s="34"/>
      <c r="AQ70" s="34"/>
    </row>
    <row r="71" spans="1:43" x14ac:dyDescent="0.25">
      <c r="A71" s="37"/>
      <c r="B71" s="37"/>
      <c r="C71" s="37"/>
      <c r="D71" s="37"/>
      <c r="E71" s="37"/>
      <c r="F71" s="37"/>
      <c r="G71" s="37"/>
      <c r="H71" s="37"/>
      <c r="I71" s="37"/>
      <c r="J71" s="37"/>
      <c r="K71" s="37"/>
      <c r="AG71" s="34"/>
      <c r="AH71" s="34"/>
      <c r="AI71" s="34"/>
      <c r="AJ71" s="34"/>
      <c r="AK71" s="34"/>
      <c r="AL71" s="34"/>
      <c r="AM71" s="34"/>
      <c r="AN71" s="34"/>
      <c r="AO71" s="34"/>
      <c r="AP71" s="34"/>
      <c r="AQ71" s="34"/>
    </row>
    <row r="72" spans="1:43" x14ac:dyDescent="0.25">
      <c r="A72" s="37"/>
      <c r="B72" s="37"/>
      <c r="C72" s="37"/>
      <c r="D72" s="37"/>
      <c r="E72" s="37"/>
      <c r="F72" s="37"/>
      <c r="G72" s="37"/>
      <c r="H72" s="37"/>
      <c r="I72" s="37"/>
      <c r="J72" s="37"/>
      <c r="K72" s="37"/>
      <c r="AG72" s="34"/>
      <c r="AH72" s="34"/>
      <c r="AI72" s="34"/>
      <c r="AJ72" s="34"/>
      <c r="AK72" s="34"/>
      <c r="AL72" s="34"/>
      <c r="AM72" s="34"/>
      <c r="AN72" s="34"/>
      <c r="AO72" s="34"/>
      <c r="AP72" s="34"/>
      <c r="AQ72" s="34"/>
    </row>
    <row r="73" spans="1:43" x14ac:dyDescent="0.25">
      <c r="A73" s="37"/>
      <c r="B73" s="37"/>
      <c r="C73" s="37"/>
      <c r="D73" s="37"/>
      <c r="E73" s="37"/>
      <c r="F73" s="37"/>
      <c r="G73" s="37"/>
      <c r="H73" s="37"/>
      <c r="I73" s="37"/>
      <c r="J73" s="37"/>
      <c r="K73" s="37"/>
      <c r="AG73" s="34"/>
      <c r="AH73" s="34"/>
      <c r="AI73" s="34"/>
      <c r="AJ73" s="34"/>
      <c r="AK73" s="34"/>
      <c r="AL73" s="34"/>
      <c r="AM73" s="34"/>
      <c r="AN73" s="34"/>
      <c r="AO73" s="34"/>
      <c r="AP73" s="34"/>
      <c r="AQ73" s="34"/>
    </row>
    <row r="74" spans="1:43" x14ac:dyDescent="0.25">
      <c r="A74" s="37"/>
      <c r="B74" s="37"/>
      <c r="C74" s="37"/>
      <c r="D74" s="37"/>
      <c r="E74" s="37"/>
      <c r="F74" s="37"/>
      <c r="G74" s="37"/>
      <c r="H74" s="37"/>
      <c r="I74" s="37"/>
      <c r="J74" s="37"/>
      <c r="K74" s="37"/>
      <c r="AG74" s="34"/>
      <c r="AH74" s="34"/>
      <c r="AI74" s="34"/>
      <c r="AJ74" s="34"/>
      <c r="AK74" s="34"/>
      <c r="AL74" s="34"/>
      <c r="AM74" s="34"/>
      <c r="AN74" s="34"/>
      <c r="AO74" s="34"/>
      <c r="AP74" s="34"/>
      <c r="AQ74" s="34"/>
    </row>
    <row r="75" spans="1:43" x14ac:dyDescent="0.25">
      <c r="A75" s="37"/>
      <c r="B75" s="37"/>
      <c r="C75" s="37"/>
      <c r="D75" s="37"/>
      <c r="E75" s="37"/>
      <c r="F75" s="37"/>
      <c r="G75" s="37"/>
      <c r="H75" s="37"/>
      <c r="I75" s="37"/>
      <c r="J75" s="37"/>
      <c r="K75" s="37"/>
      <c r="AG75" s="34"/>
      <c r="AH75" s="34"/>
      <c r="AI75" s="34"/>
      <c r="AJ75" s="34"/>
      <c r="AK75" s="34"/>
      <c r="AL75" s="34"/>
      <c r="AM75" s="34"/>
      <c r="AN75" s="34"/>
      <c r="AO75" s="34"/>
      <c r="AP75" s="34"/>
      <c r="AQ75" s="34"/>
    </row>
    <row r="76" spans="1:43" x14ac:dyDescent="0.25">
      <c r="A76" s="37"/>
      <c r="B76" s="37"/>
      <c r="C76" s="37"/>
      <c r="D76" s="37"/>
      <c r="E76" s="37"/>
      <c r="F76" s="37"/>
      <c r="G76" s="37"/>
      <c r="H76" s="37"/>
      <c r="I76" s="37"/>
      <c r="J76" s="37"/>
      <c r="K76" s="37"/>
      <c r="AG76" s="34"/>
      <c r="AH76" s="34"/>
      <c r="AI76" s="34"/>
      <c r="AJ76" s="34"/>
      <c r="AK76" s="34"/>
      <c r="AL76" s="34"/>
      <c r="AM76" s="34"/>
      <c r="AN76" s="34"/>
      <c r="AO76" s="34"/>
      <c r="AP76" s="34"/>
      <c r="AQ76" s="34"/>
    </row>
    <row r="77" spans="1:43" x14ac:dyDescent="0.25">
      <c r="A77" s="37"/>
      <c r="B77" s="37"/>
      <c r="C77" s="37"/>
      <c r="D77" s="37"/>
      <c r="E77" s="37"/>
      <c r="F77" s="37"/>
      <c r="G77" s="37"/>
      <c r="H77" s="37"/>
      <c r="I77" s="37"/>
      <c r="J77" s="37"/>
      <c r="K77" s="37"/>
      <c r="AG77" s="34"/>
      <c r="AH77" s="34"/>
      <c r="AI77" s="34"/>
      <c r="AJ77" s="34"/>
      <c r="AK77" s="34"/>
      <c r="AL77" s="34"/>
      <c r="AM77" s="34"/>
      <c r="AN77" s="34"/>
      <c r="AO77" s="34"/>
      <c r="AP77" s="34"/>
      <c r="AQ77" s="34"/>
    </row>
    <row r="78" spans="1:43" x14ac:dyDescent="0.25">
      <c r="A78" s="37"/>
      <c r="B78" s="37"/>
      <c r="C78" s="37"/>
      <c r="D78" s="37"/>
      <c r="E78" s="37"/>
      <c r="F78" s="37"/>
      <c r="G78" s="37"/>
      <c r="H78" s="37"/>
      <c r="I78" s="37"/>
      <c r="J78" s="37"/>
      <c r="K78" s="37"/>
      <c r="AG78" s="34"/>
      <c r="AH78" s="34"/>
      <c r="AI78" s="34"/>
      <c r="AJ78" s="34"/>
      <c r="AK78" s="34"/>
      <c r="AL78" s="34"/>
      <c r="AM78" s="34"/>
      <c r="AN78" s="34"/>
      <c r="AO78" s="34"/>
      <c r="AP78" s="34"/>
      <c r="AQ78" s="34"/>
    </row>
    <row r="79" spans="1:43" x14ac:dyDescent="0.25">
      <c r="A79" s="37"/>
      <c r="B79" s="37"/>
      <c r="C79" s="37"/>
      <c r="D79" s="37"/>
      <c r="E79" s="37"/>
      <c r="F79" s="37"/>
      <c r="G79" s="37"/>
      <c r="H79" s="37"/>
      <c r="I79" s="37"/>
      <c r="J79" s="37"/>
      <c r="K79" s="37"/>
      <c r="AG79" s="34"/>
      <c r="AH79" s="34"/>
      <c r="AI79" s="34"/>
      <c r="AJ79" s="34"/>
      <c r="AK79" s="34"/>
      <c r="AL79" s="34"/>
      <c r="AM79" s="34"/>
      <c r="AN79" s="34"/>
      <c r="AO79" s="34"/>
      <c r="AP79" s="34"/>
      <c r="AQ79" s="34"/>
    </row>
    <row r="80" spans="1:43" x14ac:dyDescent="0.25">
      <c r="A80" s="37"/>
      <c r="B80" s="37"/>
      <c r="C80" s="37"/>
      <c r="D80" s="37"/>
      <c r="E80" s="37"/>
      <c r="F80" s="37"/>
      <c r="G80" s="37"/>
      <c r="H80" s="37"/>
      <c r="I80" s="37"/>
      <c r="J80" s="37"/>
      <c r="K80" s="37"/>
      <c r="AG80" s="34"/>
      <c r="AH80" s="34"/>
      <c r="AI80" s="34"/>
      <c r="AJ80" s="34"/>
      <c r="AK80" s="34"/>
      <c r="AL80" s="34"/>
      <c r="AM80" s="34"/>
      <c r="AN80" s="34"/>
      <c r="AO80" s="34"/>
      <c r="AP80" s="34"/>
      <c r="AQ80" s="34"/>
    </row>
    <row r="81" spans="1:43" x14ac:dyDescent="0.25">
      <c r="A81" s="37"/>
      <c r="B81" s="37"/>
      <c r="C81" s="37"/>
      <c r="D81" s="37"/>
      <c r="E81" s="37"/>
      <c r="F81" s="37"/>
      <c r="G81" s="37"/>
      <c r="H81" s="37"/>
      <c r="I81" s="37"/>
      <c r="J81" s="37"/>
      <c r="K81" s="37"/>
      <c r="AG81" s="34"/>
      <c r="AH81" s="34"/>
      <c r="AI81" s="34"/>
      <c r="AJ81" s="34"/>
      <c r="AK81" s="34"/>
      <c r="AL81" s="34"/>
      <c r="AM81" s="34"/>
      <c r="AN81" s="34"/>
      <c r="AO81" s="34"/>
      <c r="AP81" s="34"/>
      <c r="AQ81" s="34"/>
    </row>
    <row r="82" spans="1:43" x14ac:dyDescent="0.25">
      <c r="A82" s="37"/>
      <c r="B82" s="37"/>
      <c r="C82" s="37"/>
      <c r="D82" s="37"/>
      <c r="E82" s="37"/>
      <c r="F82" s="37"/>
      <c r="G82" s="37"/>
      <c r="H82" s="37"/>
      <c r="I82" s="37"/>
      <c r="J82" s="37"/>
      <c r="K82" s="37"/>
      <c r="AG82" s="34"/>
      <c r="AH82" s="34"/>
      <c r="AI82" s="34"/>
      <c r="AJ82" s="34"/>
      <c r="AK82" s="34"/>
      <c r="AL82" s="34"/>
      <c r="AM82" s="34"/>
      <c r="AN82" s="34"/>
      <c r="AO82" s="34"/>
      <c r="AP82" s="34"/>
      <c r="AQ82" s="34"/>
    </row>
    <row r="83" spans="1:43" x14ac:dyDescent="0.25">
      <c r="A83" s="37"/>
      <c r="B83" s="37"/>
      <c r="C83" s="37"/>
      <c r="D83" s="37"/>
      <c r="E83" s="37"/>
      <c r="F83" s="37"/>
      <c r="G83" s="37"/>
      <c r="H83" s="37"/>
      <c r="I83" s="37"/>
      <c r="J83" s="37"/>
      <c r="K83" s="37"/>
      <c r="AG83" s="34"/>
      <c r="AH83" s="34"/>
      <c r="AI83" s="34"/>
      <c r="AJ83" s="34"/>
      <c r="AK83" s="34"/>
      <c r="AL83" s="34"/>
      <c r="AM83" s="34"/>
      <c r="AN83" s="34"/>
      <c r="AO83" s="34"/>
      <c r="AP83" s="34"/>
      <c r="AQ83" s="34"/>
    </row>
    <row r="84" spans="1:43" x14ac:dyDescent="0.25">
      <c r="A84" s="37"/>
      <c r="B84" s="37"/>
      <c r="C84" s="37"/>
      <c r="D84" s="37"/>
      <c r="E84" s="37"/>
      <c r="F84" s="37"/>
      <c r="G84" s="37"/>
      <c r="H84" s="37"/>
      <c r="I84" s="37"/>
      <c r="J84" s="37"/>
      <c r="K84" s="37"/>
      <c r="AG84" s="34"/>
      <c r="AH84" s="34"/>
      <c r="AI84" s="34"/>
      <c r="AJ84" s="34"/>
      <c r="AK84" s="34"/>
      <c r="AL84" s="34"/>
      <c r="AM84" s="34"/>
      <c r="AN84" s="34"/>
      <c r="AO84" s="34"/>
      <c r="AP84" s="34"/>
      <c r="AQ84" s="34"/>
    </row>
    <row r="85" spans="1:43" x14ac:dyDescent="0.25">
      <c r="A85" s="37"/>
      <c r="B85" s="37"/>
      <c r="C85" s="37"/>
      <c r="D85" s="37"/>
      <c r="E85" s="37"/>
      <c r="F85" s="37"/>
      <c r="G85" s="37"/>
      <c r="H85" s="37"/>
      <c r="I85" s="37"/>
      <c r="J85" s="37"/>
      <c r="K85" s="37"/>
      <c r="AG85" s="34"/>
      <c r="AH85" s="34"/>
      <c r="AI85" s="34"/>
      <c r="AJ85" s="34"/>
      <c r="AK85" s="34"/>
      <c r="AL85" s="34"/>
      <c r="AM85" s="34"/>
      <c r="AN85" s="34"/>
      <c r="AO85" s="34"/>
      <c r="AP85" s="34"/>
      <c r="AQ85" s="34"/>
    </row>
    <row r="86" spans="1:43" ht="9.75" customHeight="1" x14ac:dyDescent="0.25">
      <c r="A86" s="37"/>
      <c r="B86" s="37"/>
      <c r="C86" s="37"/>
      <c r="D86" s="37"/>
      <c r="E86" s="37"/>
      <c r="F86" s="37"/>
      <c r="G86" s="37"/>
      <c r="H86" s="37"/>
      <c r="I86" s="37"/>
      <c r="J86" s="37"/>
      <c r="K86" s="37"/>
      <c r="AG86" s="34"/>
      <c r="AH86" s="34"/>
      <c r="AI86" s="34"/>
      <c r="AJ86" s="34"/>
      <c r="AK86" s="34"/>
      <c r="AL86" s="34"/>
      <c r="AM86" s="34"/>
      <c r="AN86" s="34"/>
      <c r="AO86" s="34"/>
      <c r="AP86" s="34"/>
      <c r="AQ86" s="34"/>
    </row>
    <row r="87" spans="1:43" ht="27.75" customHeight="1" x14ac:dyDescent="0.25">
      <c r="A87" s="37"/>
      <c r="B87" s="37"/>
      <c r="C87" s="37"/>
      <c r="D87" s="37"/>
      <c r="E87" s="37"/>
      <c r="F87" s="37"/>
      <c r="G87" s="37"/>
      <c r="H87" s="37"/>
      <c r="I87" s="37"/>
      <c r="J87" s="37"/>
      <c r="K87" s="37"/>
      <c r="AG87" s="34"/>
      <c r="AH87" s="34"/>
      <c r="AI87" s="34"/>
      <c r="AJ87" s="34"/>
      <c r="AK87" s="34"/>
      <c r="AL87" s="34"/>
      <c r="AM87" s="34"/>
      <c r="AN87" s="34"/>
      <c r="AO87" s="34"/>
      <c r="AP87" s="34"/>
      <c r="AQ87" s="34"/>
    </row>
  </sheetData>
  <sortState ref="V1:W13">
    <sortCondition ref="W2"/>
  </sortState>
  <mergeCells count="35">
    <mergeCell ref="B32:I32"/>
    <mergeCell ref="B30:I30"/>
    <mergeCell ref="B24:E24"/>
    <mergeCell ref="F37:H37"/>
    <mergeCell ref="B21:E21"/>
    <mergeCell ref="B22:E22"/>
    <mergeCell ref="AW2:BG46"/>
    <mergeCell ref="B8:B9"/>
    <mergeCell ref="G6:I6"/>
    <mergeCell ref="G7:I7"/>
    <mergeCell ref="G9:I9"/>
    <mergeCell ref="G10:I10"/>
    <mergeCell ref="C9:D9"/>
    <mergeCell ref="B5:D6"/>
    <mergeCell ref="C13:D13"/>
    <mergeCell ref="C11:D11"/>
    <mergeCell ref="C14:D14"/>
    <mergeCell ref="G11:I11"/>
    <mergeCell ref="G13:I13"/>
    <mergeCell ref="A41:K41"/>
    <mergeCell ref="AK2:AU46"/>
    <mergeCell ref="B19:E19"/>
    <mergeCell ref="B18:E18"/>
    <mergeCell ref="G14:I14"/>
    <mergeCell ref="A43:K87"/>
    <mergeCell ref="L37:S39"/>
    <mergeCell ref="B26:E26"/>
    <mergeCell ref="B25:E25"/>
    <mergeCell ref="B27:E27"/>
    <mergeCell ref="B16:E16"/>
    <mergeCell ref="B17:E17"/>
    <mergeCell ref="A42:K42"/>
    <mergeCell ref="B20:E20"/>
    <mergeCell ref="F39:H39"/>
    <mergeCell ref="B23:E23"/>
  </mergeCells>
  <dataValidations count="3">
    <dataValidation type="list" allowBlank="1" showInputMessage="1" showErrorMessage="1" sqref="M17:M27">
      <formula1>DesignationCombo</formula1>
    </dataValidation>
    <dataValidation type="list" allowBlank="1" showInputMessage="1" showErrorMessage="1" sqref="N17:N27">
      <formula1>CATLIST</formula1>
    </dataValidation>
    <dataValidation type="list" allowBlank="1" showInputMessage="1" showErrorMessage="1" sqref="BH17:BI27">
      <formula1>STATUS</formula1>
    </dataValidation>
  </dataValidations>
  <pageMargins left="0.5" right="0.5" top="0.5" bottom="0.5" header="0" footer="0"/>
  <pageSetup orientation="portrait" r:id="rId1"/>
  <headerFooter>
    <oddFooter xml:space="preserve">&amp;C&amp;9                </oddFooter>
  </headerFooter>
  <drawing r:id="rId2"/>
  <legacyDrawing r:id="rId3"/>
  <controls>
    <mc:AlternateContent xmlns:mc="http://schemas.openxmlformats.org/markup-compatibility/2006">
      <mc:Choice Requires="x14">
        <control shapeId="1071" r:id="rId4" name="CommandButton4">
          <controlPr defaultSize="0" print="0" autoLine="0" r:id="rId5">
            <anchor moveWithCells="1">
              <from>
                <xdr:col>3</xdr:col>
                <xdr:colOff>323850</xdr:colOff>
                <xdr:row>11</xdr:row>
                <xdr:rowOff>57150</xdr:rowOff>
              </from>
              <to>
                <xdr:col>4</xdr:col>
                <xdr:colOff>19050</xdr:colOff>
                <xdr:row>12</xdr:row>
                <xdr:rowOff>123825</xdr:rowOff>
              </to>
            </anchor>
          </controlPr>
        </control>
      </mc:Choice>
      <mc:Fallback>
        <control shapeId="1071" r:id="rId4" name="CommandButton4"/>
      </mc:Fallback>
    </mc:AlternateContent>
    <mc:AlternateContent xmlns:mc="http://schemas.openxmlformats.org/markup-compatibility/2006">
      <mc:Choice Requires="x14">
        <control shapeId="1065" r:id="rId6" name="ComboBox_Vendor">
          <controlPr defaultSize="0" print="0" autoLine="0" linkedCell="TO" r:id="rId7">
            <anchor moveWithCells="1">
              <from>
                <xdr:col>7</xdr:col>
                <xdr:colOff>628650</xdr:colOff>
                <xdr:row>4</xdr:row>
                <xdr:rowOff>66675</xdr:rowOff>
              </from>
              <to>
                <xdr:col>9</xdr:col>
                <xdr:colOff>9525</xdr:colOff>
                <xdr:row>5</xdr:row>
                <xdr:rowOff>171450</xdr:rowOff>
              </to>
            </anchor>
          </controlPr>
        </control>
      </mc:Choice>
      <mc:Fallback>
        <control shapeId="1065" r:id="rId6" name="ComboBox_Vendor"/>
      </mc:Fallback>
    </mc:AlternateContent>
    <mc:AlternateContent xmlns:mc="http://schemas.openxmlformats.org/markup-compatibility/2006">
      <mc:Choice Requires="x14">
        <control shapeId="1064" r:id="rId8" name="CommandButton17">
          <controlPr defaultSize="0" print="0" autoLine="0" r:id="rId9">
            <anchor moveWithCells="1">
              <from>
                <xdr:col>3</xdr:col>
                <xdr:colOff>314325</xdr:colOff>
                <xdr:row>13</xdr:row>
                <xdr:rowOff>19050</xdr:rowOff>
              </from>
              <to>
                <xdr:col>4</xdr:col>
                <xdr:colOff>9525</xdr:colOff>
                <xdr:row>14</xdr:row>
                <xdr:rowOff>85725</xdr:rowOff>
              </to>
            </anchor>
          </controlPr>
        </control>
      </mc:Choice>
      <mc:Fallback>
        <control shapeId="1064" r:id="rId8" name="CommandButton17"/>
      </mc:Fallback>
    </mc:AlternateContent>
    <mc:AlternateContent xmlns:mc="http://schemas.openxmlformats.org/markup-compatibility/2006">
      <mc:Choice Requires="x14">
        <control shapeId="1025" r:id="rId10" name="PONumberBtn">
          <controlPr defaultSize="0" print="0" autoLine="0" r:id="rId11">
            <anchor moveWithCells="1">
              <from>
                <xdr:col>3</xdr:col>
                <xdr:colOff>28575</xdr:colOff>
                <xdr:row>7</xdr:row>
                <xdr:rowOff>66675</xdr:rowOff>
              </from>
              <to>
                <xdr:col>4</xdr:col>
                <xdr:colOff>0</xdr:colOff>
                <xdr:row>8</xdr:row>
                <xdr:rowOff>161925</xdr:rowOff>
              </to>
            </anchor>
          </controlPr>
        </control>
      </mc:Choice>
      <mc:Fallback>
        <control shapeId="1025" r:id="rId10" name="PONumberBtn"/>
      </mc:Fallback>
    </mc:AlternateContent>
    <mc:AlternateContent xmlns:mc="http://schemas.openxmlformats.org/markup-compatibility/2006">
      <mc:Choice Requires="x14">
        <control shapeId="1028" r:id="rId12" name="ClearBtn">
          <controlPr defaultSize="0" print="0" autoLine="0" r:id="rId13">
            <anchor moveWithCells="1">
              <from>
                <xdr:col>11</xdr:col>
                <xdr:colOff>123825</xdr:colOff>
                <xdr:row>3</xdr:row>
                <xdr:rowOff>85725</xdr:rowOff>
              </from>
              <to>
                <xdr:col>11</xdr:col>
                <xdr:colOff>1038225</xdr:colOff>
                <xdr:row>5</xdr:row>
                <xdr:rowOff>161925</xdr:rowOff>
              </to>
            </anchor>
          </controlPr>
        </control>
      </mc:Choice>
      <mc:Fallback>
        <control shapeId="1028" r:id="rId12" name="ClearBtn"/>
      </mc:Fallback>
    </mc:AlternateContent>
    <mc:AlternateContent xmlns:mc="http://schemas.openxmlformats.org/markup-compatibility/2006">
      <mc:Choice Requires="x14">
        <control shapeId="1035" r:id="rId14" name="CommandButton1">
          <controlPr defaultSize="0" print="0" autoLine="0" r:id="rId15">
            <anchor moveWithCells="1">
              <from>
                <xdr:col>11</xdr:col>
                <xdr:colOff>133350</xdr:colOff>
                <xdr:row>0</xdr:row>
                <xdr:rowOff>95250</xdr:rowOff>
              </from>
              <to>
                <xdr:col>11</xdr:col>
                <xdr:colOff>1047750</xdr:colOff>
                <xdr:row>3</xdr:row>
                <xdr:rowOff>38100</xdr:rowOff>
              </to>
            </anchor>
          </controlPr>
        </control>
      </mc:Choice>
      <mc:Fallback>
        <control shapeId="1035" r:id="rId14" name="CommandButton1"/>
      </mc:Fallback>
    </mc:AlternateContent>
    <mc:AlternateContent xmlns:mc="http://schemas.openxmlformats.org/markup-compatibility/2006">
      <mc:Choice Requires="x14">
        <control shapeId="1044" r:id="rId16" name="des1btn">
          <controlPr defaultSize="0" print="0" autoLine="0" r:id="rId17">
            <anchor moveWithCells="1">
              <from>
                <xdr:col>9</xdr:col>
                <xdr:colOff>9525</xdr:colOff>
                <xdr:row>16</xdr:row>
                <xdr:rowOff>0</xdr:rowOff>
              </from>
              <to>
                <xdr:col>11</xdr:col>
                <xdr:colOff>666750</xdr:colOff>
                <xdr:row>17</xdr:row>
                <xdr:rowOff>9525</xdr:rowOff>
              </to>
            </anchor>
          </controlPr>
        </control>
      </mc:Choice>
      <mc:Fallback>
        <control shapeId="1044" r:id="rId16" name="des1btn"/>
      </mc:Fallback>
    </mc:AlternateContent>
    <mc:AlternateContent xmlns:mc="http://schemas.openxmlformats.org/markup-compatibility/2006">
      <mc:Choice Requires="x14">
        <control shapeId="1057" r:id="rId18" name="CommandButton13">
          <controlPr defaultSize="0" print="0" autoLine="0" r:id="rId19">
            <anchor moveWithCells="1">
              <from>
                <xdr:col>8</xdr:col>
                <xdr:colOff>276225</xdr:colOff>
                <xdr:row>7</xdr:row>
                <xdr:rowOff>47625</xdr:rowOff>
              </from>
              <to>
                <xdr:col>9</xdr:col>
                <xdr:colOff>0</xdr:colOff>
                <xdr:row>8</xdr:row>
                <xdr:rowOff>161925</xdr:rowOff>
              </to>
            </anchor>
          </controlPr>
        </control>
      </mc:Choice>
      <mc:Fallback>
        <control shapeId="1057" r:id="rId18" name="CommandButton13"/>
      </mc:Fallback>
    </mc:AlternateContent>
    <mc:AlternateContent xmlns:mc="http://schemas.openxmlformats.org/markup-compatibility/2006">
      <mc:Choice Requires="x14">
        <control shapeId="1068" r:id="rId20" name="CommandButton2">
          <controlPr defaultSize="0" print="0" autoLine="0" r:id="rId21">
            <anchor moveWithCells="1">
              <from>
                <xdr:col>2</xdr:col>
                <xdr:colOff>962025</xdr:colOff>
                <xdr:row>13</xdr:row>
                <xdr:rowOff>9525</xdr:rowOff>
              </from>
              <to>
                <xdr:col>3</xdr:col>
                <xdr:colOff>266700</xdr:colOff>
                <xdr:row>14</xdr:row>
                <xdr:rowOff>76200</xdr:rowOff>
              </to>
            </anchor>
          </controlPr>
        </control>
      </mc:Choice>
      <mc:Fallback>
        <control shapeId="1068" r:id="rId20" name="CommandButton2"/>
      </mc:Fallback>
    </mc:AlternateContent>
    <mc:AlternateContent xmlns:mc="http://schemas.openxmlformats.org/markup-compatibility/2006">
      <mc:Choice Requires="x14">
        <control shapeId="1070" r:id="rId22" name="CommandButton3">
          <controlPr defaultSize="0" print="0" autoLine="0" r:id="rId23">
            <anchor moveWithCells="1">
              <from>
                <xdr:col>11</xdr:col>
                <xdr:colOff>123825</xdr:colOff>
                <xdr:row>6</xdr:row>
                <xdr:rowOff>47625</xdr:rowOff>
              </from>
              <to>
                <xdr:col>11</xdr:col>
                <xdr:colOff>1038225</xdr:colOff>
                <xdr:row>8</xdr:row>
                <xdr:rowOff>142875</xdr:rowOff>
              </to>
            </anchor>
          </controlPr>
        </control>
      </mc:Choice>
      <mc:Fallback>
        <control shapeId="1070" r:id="rId22" name="CommandButton3"/>
      </mc:Fallback>
    </mc:AlternateContent>
    <mc:AlternateContent xmlns:mc="http://schemas.openxmlformats.org/markup-compatibility/2006">
      <mc:Choice Requires="x14">
        <control shapeId="1072" r:id="rId24" name="CommandButton5">
          <controlPr defaultSize="0" autoLine="0" r:id="rId25">
            <anchor moveWithCells="1">
              <from>
                <xdr:col>12</xdr:col>
                <xdr:colOff>38100</xdr:colOff>
                <xdr:row>3</xdr:row>
                <xdr:rowOff>76200</xdr:rowOff>
              </from>
              <to>
                <xdr:col>12</xdr:col>
                <xdr:colOff>971550</xdr:colOff>
                <xdr:row>5</xdr:row>
                <xdr:rowOff>123825</xdr:rowOff>
              </to>
            </anchor>
          </controlPr>
        </control>
      </mc:Choice>
      <mc:Fallback>
        <control shapeId="1072" r:id="rId24"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7"/>
  <sheetViews>
    <sheetView workbookViewId="0">
      <selection activeCell="H23" sqref="H23"/>
    </sheetView>
  </sheetViews>
  <sheetFormatPr defaultRowHeight="15" x14ac:dyDescent="0.25"/>
  <cols>
    <col min="1" max="1" width="5.140625" bestFit="1" customWidth="1"/>
    <col min="2" max="2" width="21" bestFit="1" customWidth="1"/>
    <col min="3" max="3" width="21.7109375" bestFit="1" customWidth="1"/>
    <col min="4" max="4" width="12.28515625" bestFit="1" customWidth="1"/>
    <col min="5" max="5" width="8.5703125" bestFit="1" customWidth="1"/>
    <col min="6" max="6" width="11.7109375" bestFit="1" customWidth="1"/>
    <col min="7" max="7" width="6" bestFit="1" customWidth="1"/>
    <col min="8" max="8" width="53.85546875" bestFit="1" customWidth="1"/>
    <col min="9" max="10" width="14.28515625" bestFit="1" customWidth="1"/>
    <col min="11" max="11" width="17" bestFit="1" customWidth="1"/>
    <col min="12" max="13" width="11.140625" bestFit="1" customWidth="1"/>
  </cols>
  <sheetData>
    <row r="1" spans="1:11" x14ac:dyDescent="0.25">
      <c r="A1" t="s">
        <v>52</v>
      </c>
      <c r="B1" t="s">
        <v>60</v>
      </c>
      <c r="C1" t="s">
        <v>204</v>
      </c>
      <c r="D1" t="s">
        <v>205</v>
      </c>
      <c r="E1" t="s">
        <v>206</v>
      </c>
      <c r="F1" t="s">
        <v>207</v>
      </c>
      <c r="G1" t="s">
        <v>208</v>
      </c>
      <c r="H1" t="s">
        <v>209</v>
      </c>
      <c r="I1" t="s">
        <v>210</v>
      </c>
      <c r="J1" t="s">
        <v>211</v>
      </c>
      <c r="K1" t="s">
        <v>212</v>
      </c>
    </row>
    <row r="2" spans="1:11" x14ac:dyDescent="0.25">
      <c r="A2">
        <v>24</v>
      </c>
      <c r="B2" t="s">
        <v>151</v>
      </c>
      <c r="C2" t="s">
        <v>213</v>
      </c>
      <c r="D2" t="s">
        <v>214</v>
      </c>
      <c r="E2" t="s">
        <v>215</v>
      </c>
      <c r="F2" t="s">
        <v>216</v>
      </c>
      <c r="G2" t="s">
        <v>217</v>
      </c>
      <c r="H2" t="s">
        <v>218</v>
      </c>
      <c r="K2" t="s">
        <v>219</v>
      </c>
    </row>
    <row r="3" spans="1:11" x14ac:dyDescent="0.25">
      <c r="A3">
        <v>25</v>
      </c>
      <c r="B3" t="s">
        <v>152</v>
      </c>
      <c r="E3" t="s">
        <v>220</v>
      </c>
      <c r="F3" t="s">
        <v>221</v>
      </c>
      <c r="H3" t="s">
        <v>222</v>
      </c>
      <c r="I3" t="s">
        <v>223</v>
      </c>
      <c r="J3" t="s">
        <v>224</v>
      </c>
      <c r="K3" t="s">
        <v>219</v>
      </c>
    </row>
    <row r="4" spans="1:11" x14ac:dyDescent="0.25">
      <c r="A4">
        <v>26</v>
      </c>
      <c r="B4" t="s">
        <v>153</v>
      </c>
      <c r="C4" t="s">
        <v>225</v>
      </c>
      <c r="E4" t="s">
        <v>226</v>
      </c>
      <c r="F4" t="s">
        <v>227</v>
      </c>
      <c r="G4" t="s">
        <v>228</v>
      </c>
      <c r="H4" t="s">
        <v>229</v>
      </c>
      <c r="I4" t="s">
        <v>230</v>
      </c>
      <c r="J4" t="s">
        <v>231</v>
      </c>
      <c r="K4" t="s">
        <v>219</v>
      </c>
    </row>
    <row r="5" spans="1:11" x14ac:dyDescent="0.25">
      <c r="A5">
        <v>27</v>
      </c>
      <c r="B5" t="s">
        <v>154</v>
      </c>
      <c r="C5" t="s">
        <v>232</v>
      </c>
      <c r="E5" t="s">
        <v>233</v>
      </c>
      <c r="F5" t="s">
        <v>234</v>
      </c>
      <c r="H5" t="s">
        <v>235</v>
      </c>
      <c r="I5" t="s">
        <v>236</v>
      </c>
      <c r="J5" t="s">
        <v>237</v>
      </c>
      <c r="K5" t="s">
        <v>238</v>
      </c>
    </row>
    <row r="6" spans="1:11" x14ac:dyDescent="0.25">
      <c r="A6">
        <v>28</v>
      </c>
      <c r="B6" t="s">
        <v>155</v>
      </c>
      <c r="C6" t="s">
        <v>239</v>
      </c>
      <c r="E6" t="s">
        <v>240</v>
      </c>
      <c r="F6" t="s">
        <v>241</v>
      </c>
      <c r="G6" t="s">
        <v>242</v>
      </c>
      <c r="H6" t="s">
        <v>243</v>
      </c>
      <c r="I6" t="s">
        <v>244</v>
      </c>
      <c r="K6" t="s">
        <v>219</v>
      </c>
    </row>
    <row r="7" spans="1:11" x14ac:dyDescent="0.25">
      <c r="A7">
        <v>29</v>
      </c>
      <c r="B7" t="s">
        <v>156</v>
      </c>
      <c r="H7" t="s">
        <v>245</v>
      </c>
    </row>
    <row r="8" spans="1:11" x14ac:dyDescent="0.25">
      <c r="A8">
        <v>30</v>
      </c>
      <c r="B8" t="s">
        <v>157</v>
      </c>
    </row>
    <row r="9" spans="1:11" x14ac:dyDescent="0.25">
      <c r="A9">
        <v>31</v>
      </c>
      <c r="B9" t="s">
        <v>158</v>
      </c>
    </row>
    <row r="10" spans="1:11" x14ac:dyDescent="0.25">
      <c r="A10">
        <v>32</v>
      </c>
      <c r="B10" t="s">
        <v>159</v>
      </c>
    </row>
    <row r="11" spans="1:11" x14ac:dyDescent="0.25">
      <c r="A11">
        <v>33</v>
      </c>
      <c r="B11" t="s">
        <v>160</v>
      </c>
    </row>
    <row r="12" spans="1:11" x14ac:dyDescent="0.25">
      <c r="A12">
        <v>34</v>
      </c>
      <c r="B12" t="s">
        <v>246</v>
      </c>
    </row>
    <row r="13" spans="1:11" x14ac:dyDescent="0.25">
      <c r="A13">
        <v>35</v>
      </c>
      <c r="B13" t="s">
        <v>161</v>
      </c>
      <c r="H13" t="s">
        <v>247</v>
      </c>
    </row>
    <row r="14" spans="1:11" x14ac:dyDescent="0.25">
      <c r="A14">
        <v>36</v>
      </c>
      <c r="B14" t="s">
        <v>162</v>
      </c>
    </row>
    <row r="15" spans="1:11" x14ac:dyDescent="0.25">
      <c r="A15">
        <v>37</v>
      </c>
      <c r="B15" t="s">
        <v>163</v>
      </c>
    </row>
    <row r="16" spans="1:11" x14ac:dyDescent="0.25">
      <c r="A16">
        <v>38</v>
      </c>
      <c r="B16" t="s">
        <v>164</v>
      </c>
    </row>
    <row r="17" spans="1:2" x14ac:dyDescent="0.25">
      <c r="A17">
        <v>39</v>
      </c>
      <c r="B17" t="s">
        <v>165</v>
      </c>
    </row>
    <row r="18" spans="1:2" x14ac:dyDescent="0.25">
      <c r="A18">
        <v>40</v>
      </c>
      <c r="B18" t="s">
        <v>166</v>
      </c>
    </row>
    <row r="19" spans="1:2" x14ac:dyDescent="0.25">
      <c r="A19">
        <v>41</v>
      </c>
      <c r="B19" t="s">
        <v>167</v>
      </c>
    </row>
    <row r="20" spans="1:2" x14ac:dyDescent="0.25">
      <c r="A20">
        <v>42</v>
      </c>
      <c r="B20" t="s">
        <v>168</v>
      </c>
    </row>
    <row r="21" spans="1:2" x14ac:dyDescent="0.25">
      <c r="A21">
        <v>43</v>
      </c>
      <c r="B21" t="s">
        <v>169</v>
      </c>
    </row>
    <row r="22" spans="1:2" x14ac:dyDescent="0.25">
      <c r="A22">
        <v>44</v>
      </c>
      <c r="B22" t="s">
        <v>170</v>
      </c>
    </row>
    <row r="23" spans="1:2" x14ac:dyDescent="0.25">
      <c r="A23">
        <v>45</v>
      </c>
      <c r="B23" t="s">
        <v>171</v>
      </c>
    </row>
    <row r="24" spans="1:2" x14ac:dyDescent="0.25">
      <c r="A24">
        <v>46</v>
      </c>
      <c r="B24" t="s">
        <v>172</v>
      </c>
    </row>
    <row r="25" spans="1:2" x14ac:dyDescent="0.25">
      <c r="A25">
        <v>47</v>
      </c>
      <c r="B25" t="s">
        <v>173</v>
      </c>
    </row>
    <row r="26" spans="1:2" x14ac:dyDescent="0.25">
      <c r="A26">
        <v>48</v>
      </c>
      <c r="B26" t="s">
        <v>174</v>
      </c>
    </row>
    <row r="27" spans="1:2" x14ac:dyDescent="0.25">
      <c r="A27">
        <v>49</v>
      </c>
      <c r="B27" t="s">
        <v>175</v>
      </c>
    </row>
    <row r="28" spans="1:2" x14ac:dyDescent="0.25">
      <c r="A28">
        <v>50</v>
      </c>
      <c r="B28" t="s">
        <v>176</v>
      </c>
    </row>
    <row r="29" spans="1:2" x14ac:dyDescent="0.25">
      <c r="A29">
        <v>51</v>
      </c>
      <c r="B29" t="s">
        <v>177</v>
      </c>
    </row>
    <row r="30" spans="1:2" x14ac:dyDescent="0.25">
      <c r="A30">
        <v>52</v>
      </c>
      <c r="B30" t="s">
        <v>178</v>
      </c>
    </row>
    <row r="31" spans="1:2" x14ac:dyDescent="0.25">
      <c r="A31">
        <v>53</v>
      </c>
      <c r="B31" t="s">
        <v>179</v>
      </c>
    </row>
    <row r="32" spans="1:2" x14ac:dyDescent="0.25">
      <c r="A32">
        <v>54</v>
      </c>
      <c r="B32" t="s">
        <v>180</v>
      </c>
    </row>
    <row r="33" spans="1:2" x14ac:dyDescent="0.25">
      <c r="A33">
        <v>55</v>
      </c>
      <c r="B33" t="s">
        <v>51</v>
      </c>
    </row>
    <row r="34" spans="1:2" x14ac:dyDescent="0.25">
      <c r="A34">
        <v>56</v>
      </c>
      <c r="B34" t="s">
        <v>181</v>
      </c>
    </row>
    <row r="35" spans="1:2" x14ac:dyDescent="0.25">
      <c r="A35">
        <v>57</v>
      </c>
      <c r="B35" t="s">
        <v>182</v>
      </c>
    </row>
    <row r="36" spans="1:2" x14ac:dyDescent="0.25">
      <c r="A36">
        <v>58</v>
      </c>
      <c r="B36" t="s">
        <v>183</v>
      </c>
    </row>
    <row r="37" spans="1:2" x14ac:dyDescent="0.25">
      <c r="A37">
        <v>59</v>
      </c>
      <c r="B37" t="s">
        <v>184</v>
      </c>
    </row>
    <row r="38" spans="1:2" x14ac:dyDescent="0.25">
      <c r="A38">
        <v>60</v>
      </c>
      <c r="B38" t="s">
        <v>185</v>
      </c>
    </row>
    <row r="39" spans="1:2" x14ac:dyDescent="0.25">
      <c r="A39">
        <v>61</v>
      </c>
      <c r="B39" t="s">
        <v>186</v>
      </c>
    </row>
    <row r="40" spans="1:2" x14ac:dyDescent="0.25">
      <c r="A40">
        <v>62</v>
      </c>
      <c r="B40" t="s">
        <v>187</v>
      </c>
    </row>
    <row r="41" spans="1:2" x14ac:dyDescent="0.25">
      <c r="A41">
        <v>63</v>
      </c>
      <c r="B41" t="s">
        <v>188</v>
      </c>
    </row>
    <row r="42" spans="1:2" x14ac:dyDescent="0.25">
      <c r="A42">
        <v>64</v>
      </c>
      <c r="B42" t="s">
        <v>189</v>
      </c>
    </row>
    <row r="43" spans="1:2" x14ac:dyDescent="0.25">
      <c r="A43">
        <v>65</v>
      </c>
      <c r="B43" t="s">
        <v>190</v>
      </c>
    </row>
    <row r="44" spans="1:2" x14ac:dyDescent="0.25">
      <c r="A44">
        <v>66</v>
      </c>
      <c r="B44" t="s">
        <v>191</v>
      </c>
    </row>
    <row r="45" spans="1:2" x14ac:dyDescent="0.25">
      <c r="A45">
        <v>67</v>
      </c>
      <c r="B45" t="s">
        <v>192</v>
      </c>
    </row>
    <row r="46" spans="1:2" x14ac:dyDescent="0.25">
      <c r="A46">
        <v>68</v>
      </c>
      <c r="B46" t="s">
        <v>193</v>
      </c>
    </row>
    <row r="47" spans="1:2" x14ac:dyDescent="0.25">
      <c r="A47">
        <v>69</v>
      </c>
      <c r="B47" t="s">
        <v>194</v>
      </c>
    </row>
    <row r="48" spans="1:2" x14ac:dyDescent="0.25">
      <c r="A48">
        <v>70</v>
      </c>
      <c r="B48" t="s">
        <v>195</v>
      </c>
    </row>
    <row r="49" spans="1:10" x14ac:dyDescent="0.25">
      <c r="A49">
        <v>71</v>
      </c>
      <c r="B49" t="s">
        <v>196</v>
      </c>
    </row>
    <row r="50" spans="1:10" x14ac:dyDescent="0.25">
      <c r="A50">
        <v>72</v>
      </c>
      <c r="B50" t="s">
        <v>197</v>
      </c>
    </row>
    <row r="51" spans="1:10" x14ac:dyDescent="0.25">
      <c r="A51">
        <v>73</v>
      </c>
      <c r="B51" t="s">
        <v>198</v>
      </c>
    </row>
    <row r="52" spans="1:10" x14ac:dyDescent="0.25">
      <c r="A52">
        <v>74</v>
      </c>
      <c r="B52" t="s">
        <v>199</v>
      </c>
    </row>
    <row r="53" spans="1:10" x14ac:dyDescent="0.25">
      <c r="A53">
        <v>75</v>
      </c>
      <c r="B53" t="s">
        <v>200</v>
      </c>
    </row>
    <row r="54" spans="1:10" x14ac:dyDescent="0.25">
      <c r="A54">
        <v>76</v>
      </c>
      <c r="B54" t="s">
        <v>201</v>
      </c>
    </row>
    <row r="55" spans="1:10" x14ac:dyDescent="0.25">
      <c r="A55">
        <v>77</v>
      </c>
      <c r="B55" t="s">
        <v>202</v>
      </c>
    </row>
    <row r="56" spans="1:10" x14ac:dyDescent="0.25">
      <c r="A56">
        <v>78</v>
      </c>
      <c r="B56" t="s">
        <v>248</v>
      </c>
      <c r="C56" t="s">
        <v>249</v>
      </c>
      <c r="E56" t="s">
        <v>220</v>
      </c>
      <c r="F56" t="s">
        <v>250</v>
      </c>
      <c r="G56" t="s">
        <v>251</v>
      </c>
      <c r="H56" t="s">
        <v>252</v>
      </c>
      <c r="I56" t="s">
        <v>253</v>
      </c>
      <c r="J56" t="s">
        <v>254</v>
      </c>
    </row>
    <row r="57" spans="1:10" x14ac:dyDescent="0.25">
      <c r="A57">
        <v>79</v>
      </c>
      <c r="B57" t="s">
        <v>255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8"/>
  <sheetViews>
    <sheetView workbookViewId="0">
      <selection activeCell="G13" sqref="G13"/>
    </sheetView>
  </sheetViews>
  <sheetFormatPr defaultRowHeight="15" x14ac:dyDescent="0.25"/>
  <cols>
    <col min="1" max="1" width="5.140625" customWidth="1"/>
    <col min="2" max="2" width="17.7109375" customWidth="1"/>
  </cols>
  <sheetData>
    <row r="1" spans="1:2" x14ac:dyDescent="0.25">
      <c r="A1" t="s">
        <v>52</v>
      </c>
      <c r="B1" t="s">
        <v>54</v>
      </c>
    </row>
    <row r="2" spans="1:2" x14ac:dyDescent="0.25">
      <c r="A2">
        <v>1</v>
      </c>
      <c r="B2" t="s">
        <v>55</v>
      </c>
    </row>
    <row r="3" spans="1:2" x14ac:dyDescent="0.25">
      <c r="A3">
        <v>2</v>
      </c>
      <c r="B3" t="s">
        <v>56</v>
      </c>
    </row>
    <row r="4" spans="1:2" x14ac:dyDescent="0.25">
      <c r="A4">
        <v>3</v>
      </c>
      <c r="B4" t="s">
        <v>57</v>
      </c>
    </row>
    <row r="5" spans="1:2" x14ac:dyDescent="0.25">
      <c r="A5">
        <v>4</v>
      </c>
      <c r="B5" t="s">
        <v>58</v>
      </c>
    </row>
    <row r="6" spans="1:2" x14ac:dyDescent="0.25">
      <c r="A6">
        <v>5</v>
      </c>
      <c r="B6" t="s">
        <v>59</v>
      </c>
    </row>
    <row r="7" spans="1:2" x14ac:dyDescent="0.25">
      <c r="A7">
        <v>6</v>
      </c>
      <c r="B7" t="s">
        <v>487</v>
      </c>
    </row>
    <row r="8" spans="1:2" x14ac:dyDescent="0.25">
      <c r="A8">
        <v>7</v>
      </c>
      <c r="B8" t="s">
        <v>488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27"/>
  <sheetViews>
    <sheetView workbookViewId="0">
      <selection activeCell="G30" sqref="G30"/>
    </sheetView>
  </sheetViews>
  <sheetFormatPr defaultRowHeight="15" x14ac:dyDescent="0.25"/>
  <cols>
    <col min="1" max="1" width="5.140625" bestFit="1" customWidth="1"/>
    <col min="2" max="2" width="27.85546875" bestFit="1" customWidth="1"/>
    <col min="3" max="3" width="17.5703125" bestFit="1" customWidth="1"/>
    <col min="4" max="4" width="27.5703125" bestFit="1" customWidth="1"/>
    <col min="5" max="5" width="19.140625" bestFit="1" customWidth="1"/>
  </cols>
  <sheetData>
    <row r="1" spans="1:4" x14ac:dyDescent="0.25">
      <c r="A1" t="s">
        <v>52</v>
      </c>
      <c r="B1" t="s">
        <v>16</v>
      </c>
      <c r="C1" t="s">
        <v>60</v>
      </c>
      <c r="D1" t="s">
        <v>149</v>
      </c>
    </row>
    <row r="2" spans="1:4" x14ac:dyDescent="0.25">
      <c r="A2">
        <v>278</v>
      </c>
      <c r="B2" t="s">
        <v>256</v>
      </c>
      <c r="C2" t="s">
        <v>257</v>
      </c>
      <c r="D2" t="s">
        <v>258</v>
      </c>
    </row>
    <row r="3" spans="1:4" x14ac:dyDescent="0.25">
      <c r="A3">
        <v>279</v>
      </c>
      <c r="B3" t="s">
        <v>90</v>
      </c>
      <c r="C3" t="s">
        <v>257</v>
      </c>
      <c r="D3" t="s">
        <v>258</v>
      </c>
    </row>
    <row r="4" spans="1:4" x14ac:dyDescent="0.25">
      <c r="A4">
        <v>280</v>
      </c>
      <c r="B4" t="s">
        <v>259</v>
      </c>
      <c r="C4" t="s">
        <v>257</v>
      </c>
      <c r="D4" t="s">
        <v>258</v>
      </c>
    </row>
    <row r="5" spans="1:4" x14ac:dyDescent="0.25">
      <c r="A5">
        <v>281</v>
      </c>
      <c r="B5" t="s">
        <v>260</v>
      </c>
      <c r="C5" t="s">
        <v>257</v>
      </c>
      <c r="D5" t="s">
        <v>258</v>
      </c>
    </row>
    <row r="6" spans="1:4" x14ac:dyDescent="0.25">
      <c r="A6">
        <v>282</v>
      </c>
      <c r="B6" t="s">
        <v>261</v>
      </c>
      <c r="C6" t="s">
        <v>257</v>
      </c>
      <c r="D6" t="s">
        <v>258</v>
      </c>
    </row>
    <row r="7" spans="1:4" x14ac:dyDescent="0.25">
      <c r="A7">
        <v>283</v>
      </c>
      <c r="B7" t="s">
        <v>262</v>
      </c>
      <c r="C7" t="s">
        <v>257</v>
      </c>
      <c r="D7" t="s">
        <v>258</v>
      </c>
    </row>
    <row r="8" spans="1:4" x14ac:dyDescent="0.25">
      <c r="A8">
        <v>284</v>
      </c>
      <c r="B8" t="s">
        <v>263</v>
      </c>
      <c r="C8" t="s">
        <v>257</v>
      </c>
      <c r="D8" t="s">
        <v>264</v>
      </c>
    </row>
    <row r="9" spans="1:4" x14ac:dyDescent="0.25">
      <c r="A9">
        <v>285</v>
      </c>
      <c r="B9" t="s">
        <v>265</v>
      </c>
      <c r="C9" t="s">
        <v>257</v>
      </c>
      <c r="D9" t="s">
        <v>264</v>
      </c>
    </row>
    <row r="10" spans="1:4" x14ac:dyDescent="0.25">
      <c r="A10">
        <v>286</v>
      </c>
      <c r="B10" t="s">
        <v>94</v>
      </c>
      <c r="C10" t="s">
        <v>257</v>
      </c>
      <c r="D10" t="s">
        <v>264</v>
      </c>
    </row>
    <row r="11" spans="1:4" x14ac:dyDescent="0.25">
      <c r="A11">
        <v>287</v>
      </c>
      <c r="B11" t="s">
        <v>266</v>
      </c>
      <c r="C11" t="s">
        <v>257</v>
      </c>
      <c r="D11" t="s">
        <v>264</v>
      </c>
    </row>
    <row r="12" spans="1:4" x14ac:dyDescent="0.25">
      <c r="A12">
        <v>288</v>
      </c>
      <c r="B12" t="s">
        <v>267</v>
      </c>
      <c r="C12" t="s">
        <v>257</v>
      </c>
      <c r="D12" t="s">
        <v>268</v>
      </c>
    </row>
    <row r="13" spans="1:4" x14ac:dyDescent="0.25">
      <c r="A13">
        <v>289</v>
      </c>
      <c r="B13" t="s">
        <v>269</v>
      </c>
      <c r="C13" t="s">
        <v>257</v>
      </c>
      <c r="D13" t="s">
        <v>268</v>
      </c>
    </row>
    <row r="14" spans="1:4" x14ac:dyDescent="0.25">
      <c r="A14">
        <v>290</v>
      </c>
      <c r="B14" t="s">
        <v>270</v>
      </c>
      <c r="C14" t="s">
        <v>257</v>
      </c>
      <c r="D14" t="s">
        <v>268</v>
      </c>
    </row>
    <row r="15" spans="1:4" x14ac:dyDescent="0.25">
      <c r="A15">
        <v>291</v>
      </c>
      <c r="B15" t="s">
        <v>271</v>
      </c>
      <c r="C15" t="s">
        <v>257</v>
      </c>
      <c r="D15" t="s">
        <v>268</v>
      </c>
    </row>
    <row r="16" spans="1:4" x14ac:dyDescent="0.25">
      <c r="A16">
        <v>292</v>
      </c>
      <c r="B16" t="s">
        <v>272</v>
      </c>
      <c r="C16" t="s">
        <v>257</v>
      </c>
      <c r="D16" t="s">
        <v>268</v>
      </c>
    </row>
    <row r="17" spans="1:4" x14ac:dyDescent="0.25">
      <c r="A17">
        <v>293</v>
      </c>
      <c r="B17" t="s">
        <v>273</v>
      </c>
      <c r="C17" t="s">
        <v>257</v>
      </c>
      <c r="D17" t="s">
        <v>268</v>
      </c>
    </row>
    <row r="18" spans="1:4" x14ac:dyDescent="0.25">
      <c r="A18">
        <v>294</v>
      </c>
      <c r="B18" t="s">
        <v>274</v>
      </c>
      <c r="C18" t="s">
        <v>257</v>
      </c>
      <c r="D18" t="s">
        <v>268</v>
      </c>
    </row>
    <row r="19" spans="1:4" x14ac:dyDescent="0.25">
      <c r="A19">
        <v>295</v>
      </c>
      <c r="B19" t="s">
        <v>275</v>
      </c>
      <c r="C19" t="s">
        <v>257</v>
      </c>
      <c r="D19" t="s">
        <v>268</v>
      </c>
    </row>
    <row r="20" spans="1:4" x14ac:dyDescent="0.25">
      <c r="A20">
        <v>296</v>
      </c>
      <c r="B20" t="s">
        <v>276</v>
      </c>
      <c r="C20" t="s">
        <v>257</v>
      </c>
      <c r="D20" t="s">
        <v>277</v>
      </c>
    </row>
    <row r="21" spans="1:4" x14ac:dyDescent="0.25">
      <c r="A21">
        <v>297</v>
      </c>
      <c r="B21" t="s">
        <v>278</v>
      </c>
      <c r="C21" t="s">
        <v>257</v>
      </c>
      <c r="D21" t="s">
        <v>277</v>
      </c>
    </row>
    <row r="22" spans="1:4" x14ac:dyDescent="0.25">
      <c r="A22">
        <v>298</v>
      </c>
      <c r="B22" t="s">
        <v>279</v>
      </c>
      <c r="C22" t="s">
        <v>257</v>
      </c>
      <c r="D22" t="s">
        <v>277</v>
      </c>
    </row>
    <row r="23" spans="1:4" x14ac:dyDescent="0.25">
      <c r="A23">
        <v>299</v>
      </c>
      <c r="B23" t="s">
        <v>280</v>
      </c>
      <c r="C23" t="s">
        <v>257</v>
      </c>
      <c r="D23" t="s">
        <v>277</v>
      </c>
    </row>
    <row r="24" spans="1:4" x14ac:dyDescent="0.25">
      <c r="A24">
        <v>300</v>
      </c>
      <c r="B24" t="s">
        <v>281</v>
      </c>
      <c r="C24" t="s">
        <v>257</v>
      </c>
      <c r="D24" t="s">
        <v>277</v>
      </c>
    </row>
    <row r="25" spans="1:4" x14ac:dyDescent="0.25">
      <c r="A25">
        <v>301</v>
      </c>
      <c r="B25" t="s">
        <v>282</v>
      </c>
      <c r="C25" t="s">
        <v>257</v>
      </c>
      <c r="D25" t="s">
        <v>277</v>
      </c>
    </row>
    <row r="26" spans="1:4" x14ac:dyDescent="0.25">
      <c r="A26">
        <v>302</v>
      </c>
      <c r="B26" t="s">
        <v>283</v>
      </c>
      <c r="C26" t="s">
        <v>257</v>
      </c>
      <c r="D26" t="s">
        <v>277</v>
      </c>
    </row>
    <row r="27" spans="1:4" x14ac:dyDescent="0.25">
      <c r="A27">
        <v>303</v>
      </c>
      <c r="B27" t="s">
        <v>284</v>
      </c>
      <c r="C27" t="s">
        <v>257</v>
      </c>
      <c r="D27" t="s">
        <v>268</v>
      </c>
    </row>
    <row r="28" spans="1:4" x14ac:dyDescent="0.25">
      <c r="A28">
        <v>304</v>
      </c>
      <c r="B28" t="s">
        <v>69</v>
      </c>
      <c r="C28" t="s">
        <v>257</v>
      </c>
      <c r="D28" t="s">
        <v>268</v>
      </c>
    </row>
    <row r="29" spans="1:4" x14ac:dyDescent="0.25">
      <c r="A29">
        <v>305</v>
      </c>
      <c r="B29" t="s">
        <v>285</v>
      </c>
      <c r="C29" t="s">
        <v>257</v>
      </c>
      <c r="D29" t="s">
        <v>268</v>
      </c>
    </row>
    <row r="30" spans="1:4" x14ac:dyDescent="0.25">
      <c r="A30">
        <v>306</v>
      </c>
      <c r="B30" t="s">
        <v>286</v>
      </c>
      <c r="C30" t="s">
        <v>257</v>
      </c>
      <c r="D30" t="s">
        <v>268</v>
      </c>
    </row>
    <row r="31" spans="1:4" x14ac:dyDescent="0.25">
      <c r="A31">
        <v>307</v>
      </c>
      <c r="B31" t="s">
        <v>287</v>
      </c>
      <c r="C31" t="s">
        <v>257</v>
      </c>
      <c r="D31" t="s">
        <v>268</v>
      </c>
    </row>
    <row r="32" spans="1:4" x14ac:dyDescent="0.25">
      <c r="A32">
        <v>308</v>
      </c>
      <c r="B32" t="s">
        <v>288</v>
      </c>
      <c r="C32" t="s">
        <v>257</v>
      </c>
      <c r="D32" t="s">
        <v>268</v>
      </c>
    </row>
    <row r="33" spans="1:4" x14ac:dyDescent="0.25">
      <c r="A33">
        <v>309</v>
      </c>
      <c r="B33" t="s">
        <v>289</v>
      </c>
      <c r="C33" t="s">
        <v>257</v>
      </c>
      <c r="D33" t="s">
        <v>268</v>
      </c>
    </row>
    <row r="34" spans="1:4" x14ac:dyDescent="0.25">
      <c r="A34">
        <v>310</v>
      </c>
      <c r="B34" t="s">
        <v>290</v>
      </c>
      <c r="C34" t="s">
        <v>257</v>
      </c>
      <c r="D34" t="s">
        <v>268</v>
      </c>
    </row>
    <row r="35" spans="1:4" x14ac:dyDescent="0.25">
      <c r="A35">
        <v>311</v>
      </c>
      <c r="B35" t="s">
        <v>291</v>
      </c>
      <c r="C35" t="s">
        <v>257</v>
      </c>
      <c r="D35" t="s">
        <v>268</v>
      </c>
    </row>
    <row r="36" spans="1:4" x14ac:dyDescent="0.25">
      <c r="A36">
        <v>312</v>
      </c>
      <c r="B36" t="s">
        <v>292</v>
      </c>
      <c r="C36" t="s">
        <v>257</v>
      </c>
      <c r="D36" t="s">
        <v>268</v>
      </c>
    </row>
    <row r="37" spans="1:4" x14ac:dyDescent="0.25">
      <c r="A37">
        <v>313</v>
      </c>
      <c r="B37" t="s">
        <v>293</v>
      </c>
      <c r="C37" t="s">
        <v>257</v>
      </c>
      <c r="D37" t="s">
        <v>268</v>
      </c>
    </row>
    <row r="38" spans="1:4" x14ac:dyDescent="0.25">
      <c r="A38">
        <v>314</v>
      </c>
      <c r="B38" t="s">
        <v>294</v>
      </c>
      <c r="C38" t="s">
        <v>257</v>
      </c>
      <c r="D38" t="s">
        <v>268</v>
      </c>
    </row>
    <row r="39" spans="1:4" x14ac:dyDescent="0.25">
      <c r="A39">
        <v>315</v>
      </c>
      <c r="B39" t="s">
        <v>295</v>
      </c>
      <c r="C39" t="s">
        <v>257</v>
      </c>
      <c r="D39" t="s">
        <v>268</v>
      </c>
    </row>
    <row r="40" spans="1:4" x14ac:dyDescent="0.25">
      <c r="A40">
        <v>316</v>
      </c>
      <c r="B40" t="s">
        <v>296</v>
      </c>
      <c r="C40" t="s">
        <v>257</v>
      </c>
      <c r="D40" t="s">
        <v>297</v>
      </c>
    </row>
    <row r="41" spans="1:4" x14ac:dyDescent="0.25">
      <c r="A41">
        <v>317</v>
      </c>
      <c r="B41" t="s">
        <v>298</v>
      </c>
      <c r="C41" t="s">
        <v>257</v>
      </c>
      <c r="D41" t="s">
        <v>297</v>
      </c>
    </row>
    <row r="42" spans="1:4" x14ac:dyDescent="0.25">
      <c r="A42">
        <v>318</v>
      </c>
      <c r="B42" t="s">
        <v>299</v>
      </c>
      <c r="C42" t="s">
        <v>257</v>
      </c>
      <c r="D42" t="s">
        <v>297</v>
      </c>
    </row>
    <row r="43" spans="1:4" x14ac:dyDescent="0.25">
      <c r="A43">
        <v>319</v>
      </c>
      <c r="B43" t="s">
        <v>300</v>
      </c>
      <c r="C43" t="s">
        <v>257</v>
      </c>
      <c r="D43" t="s">
        <v>297</v>
      </c>
    </row>
    <row r="44" spans="1:4" x14ac:dyDescent="0.25">
      <c r="A44">
        <v>320</v>
      </c>
      <c r="B44" t="s">
        <v>301</v>
      </c>
      <c r="C44" t="s">
        <v>257</v>
      </c>
      <c r="D44" t="s">
        <v>302</v>
      </c>
    </row>
    <row r="45" spans="1:4" x14ac:dyDescent="0.25">
      <c r="A45">
        <v>321</v>
      </c>
      <c r="B45" t="s">
        <v>303</v>
      </c>
      <c r="C45" t="s">
        <v>257</v>
      </c>
      <c r="D45" t="s">
        <v>302</v>
      </c>
    </row>
    <row r="46" spans="1:4" x14ac:dyDescent="0.25">
      <c r="A46">
        <v>322</v>
      </c>
      <c r="B46" t="s">
        <v>304</v>
      </c>
      <c r="C46" t="s">
        <v>257</v>
      </c>
      <c r="D46" t="s">
        <v>302</v>
      </c>
    </row>
    <row r="47" spans="1:4" x14ac:dyDescent="0.25">
      <c r="A47">
        <v>323</v>
      </c>
      <c r="B47" t="s">
        <v>305</v>
      </c>
      <c r="C47" t="s">
        <v>257</v>
      </c>
      <c r="D47" t="s">
        <v>306</v>
      </c>
    </row>
    <row r="48" spans="1:4" x14ac:dyDescent="0.25">
      <c r="A48">
        <v>324</v>
      </c>
      <c r="B48" t="s">
        <v>307</v>
      </c>
      <c r="C48" t="s">
        <v>257</v>
      </c>
      <c r="D48" t="s">
        <v>306</v>
      </c>
    </row>
    <row r="49" spans="1:4" x14ac:dyDescent="0.25">
      <c r="A49">
        <v>325</v>
      </c>
      <c r="B49" t="s">
        <v>308</v>
      </c>
      <c r="C49" t="s">
        <v>257</v>
      </c>
      <c r="D49" t="s">
        <v>306</v>
      </c>
    </row>
    <row r="50" spans="1:4" x14ac:dyDescent="0.25">
      <c r="A50">
        <v>326</v>
      </c>
      <c r="B50" t="s">
        <v>309</v>
      </c>
      <c r="C50" t="s">
        <v>257</v>
      </c>
      <c r="D50" t="s">
        <v>306</v>
      </c>
    </row>
    <row r="51" spans="1:4" x14ac:dyDescent="0.25">
      <c r="A51">
        <v>1</v>
      </c>
      <c r="B51" t="s">
        <v>61</v>
      </c>
      <c r="C51" t="s">
        <v>152</v>
      </c>
      <c r="D51" t="s">
        <v>62</v>
      </c>
    </row>
    <row r="52" spans="1:4" x14ac:dyDescent="0.25">
      <c r="A52">
        <v>2</v>
      </c>
      <c r="B52" t="s">
        <v>63</v>
      </c>
      <c r="C52" t="s">
        <v>152</v>
      </c>
      <c r="D52" t="s">
        <v>62</v>
      </c>
    </row>
    <row r="53" spans="1:4" x14ac:dyDescent="0.25">
      <c r="A53">
        <v>3</v>
      </c>
      <c r="B53" t="s">
        <v>64</v>
      </c>
      <c r="C53" t="s">
        <v>152</v>
      </c>
      <c r="D53" t="s">
        <v>62</v>
      </c>
    </row>
    <row r="54" spans="1:4" x14ac:dyDescent="0.25">
      <c r="A54">
        <v>4</v>
      </c>
      <c r="B54" t="s">
        <v>65</v>
      </c>
      <c r="C54" t="s">
        <v>152</v>
      </c>
      <c r="D54" t="s">
        <v>62</v>
      </c>
    </row>
    <row r="55" spans="1:4" x14ac:dyDescent="0.25">
      <c r="A55">
        <v>5</v>
      </c>
      <c r="B55" t="s">
        <v>66</v>
      </c>
      <c r="C55" t="s">
        <v>152</v>
      </c>
      <c r="D55" t="s">
        <v>62</v>
      </c>
    </row>
    <row r="56" spans="1:4" x14ac:dyDescent="0.25">
      <c r="A56">
        <v>6</v>
      </c>
      <c r="B56" t="s">
        <v>67</v>
      </c>
      <c r="C56" t="s">
        <v>152</v>
      </c>
      <c r="D56" t="s">
        <v>68</v>
      </c>
    </row>
    <row r="57" spans="1:4" x14ac:dyDescent="0.25">
      <c r="A57">
        <v>7</v>
      </c>
      <c r="B57" t="s">
        <v>69</v>
      </c>
      <c r="C57" t="s">
        <v>152</v>
      </c>
      <c r="D57" t="s">
        <v>68</v>
      </c>
    </row>
    <row r="58" spans="1:4" x14ac:dyDescent="0.25">
      <c r="A58">
        <v>8</v>
      </c>
      <c r="B58" t="s">
        <v>70</v>
      </c>
      <c r="C58" t="s">
        <v>152</v>
      </c>
      <c r="D58" t="s">
        <v>68</v>
      </c>
    </row>
    <row r="59" spans="1:4" x14ac:dyDescent="0.25">
      <c r="A59">
        <v>9</v>
      </c>
      <c r="B59" t="s">
        <v>71</v>
      </c>
      <c r="C59" t="s">
        <v>152</v>
      </c>
      <c r="D59" t="s">
        <v>68</v>
      </c>
    </row>
    <row r="60" spans="1:4" x14ac:dyDescent="0.25">
      <c r="A60">
        <v>10</v>
      </c>
      <c r="B60" t="s">
        <v>72</v>
      </c>
      <c r="C60" t="s">
        <v>152</v>
      </c>
      <c r="D60" t="s">
        <v>68</v>
      </c>
    </row>
    <row r="61" spans="1:4" x14ac:dyDescent="0.25">
      <c r="A61">
        <v>11</v>
      </c>
      <c r="B61" t="s">
        <v>73</v>
      </c>
      <c r="C61" t="s">
        <v>152</v>
      </c>
      <c r="D61" t="s">
        <v>68</v>
      </c>
    </row>
    <row r="62" spans="1:4" x14ac:dyDescent="0.25">
      <c r="A62">
        <v>12</v>
      </c>
      <c r="B62" t="s">
        <v>74</v>
      </c>
      <c r="C62" t="s">
        <v>152</v>
      </c>
      <c r="D62" t="s">
        <v>68</v>
      </c>
    </row>
    <row r="63" spans="1:4" x14ac:dyDescent="0.25">
      <c r="A63">
        <v>13</v>
      </c>
      <c r="B63" t="s">
        <v>75</v>
      </c>
      <c r="C63" t="s">
        <v>152</v>
      </c>
      <c r="D63" t="s">
        <v>68</v>
      </c>
    </row>
    <row r="64" spans="1:4" x14ac:dyDescent="0.25">
      <c r="A64">
        <v>14</v>
      </c>
      <c r="B64" t="s">
        <v>76</v>
      </c>
      <c r="C64" t="s">
        <v>152</v>
      </c>
      <c r="D64" t="s">
        <v>68</v>
      </c>
    </row>
    <row r="65" spans="1:4" x14ac:dyDescent="0.25">
      <c r="A65">
        <v>15</v>
      </c>
      <c r="B65" t="s">
        <v>77</v>
      </c>
      <c r="C65" t="s">
        <v>152</v>
      </c>
      <c r="D65" t="s">
        <v>68</v>
      </c>
    </row>
    <row r="66" spans="1:4" x14ac:dyDescent="0.25">
      <c r="A66">
        <v>16</v>
      </c>
      <c r="B66" t="s">
        <v>78</v>
      </c>
      <c r="C66" t="s">
        <v>152</v>
      </c>
      <c r="D66" t="s">
        <v>68</v>
      </c>
    </row>
    <row r="67" spans="1:4" x14ac:dyDescent="0.25">
      <c r="A67">
        <v>17</v>
      </c>
      <c r="B67" t="s">
        <v>79</v>
      </c>
      <c r="C67" t="s">
        <v>152</v>
      </c>
      <c r="D67" t="s">
        <v>68</v>
      </c>
    </row>
    <row r="68" spans="1:4" x14ac:dyDescent="0.25">
      <c r="A68">
        <v>18</v>
      </c>
      <c r="B68" t="s">
        <v>80</v>
      </c>
      <c r="C68" t="s">
        <v>152</v>
      </c>
      <c r="D68" t="s">
        <v>68</v>
      </c>
    </row>
    <row r="69" spans="1:4" x14ac:dyDescent="0.25">
      <c r="A69">
        <v>19</v>
      </c>
      <c r="B69" t="s">
        <v>81</v>
      </c>
      <c r="C69" t="s">
        <v>152</v>
      </c>
      <c r="D69" t="s">
        <v>68</v>
      </c>
    </row>
    <row r="70" spans="1:4" x14ac:dyDescent="0.25">
      <c r="A70">
        <v>20</v>
      </c>
      <c r="B70" t="s">
        <v>82</v>
      </c>
      <c r="C70" t="s">
        <v>152</v>
      </c>
      <c r="D70" t="s">
        <v>68</v>
      </c>
    </row>
    <row r="71" spans="1:4" x14ac:dyDescent="0.25">
      <c r="A71">
        <v>21</v>
      </c>
      <c r="B71" t="s">
        <v>83</v>
      </c>
      <c r="C71" t="s">
        <v>152</v>
      </c>
      <c r="D71" t="s">
        <v>68</v>
      </c>
    </row>
    <row r="72" spans="1:4" x14ac:dyDescent="0.25">
      <c r="A72">
        <v>22</v>
      </c>
      <c r="B72" t="s">
        <v>84</v>
      </c>
      <c r="C72" t="s">
        <v>152</v>
      </c>
      <c r="D72" t="s">
        <v>68</v>
      </c>
    </row>
    <row r="73" spans="1:4" x14ac:dyDescent="0.25">
      <c r="A73">
        <v>23</v>
      </c>
      <c r="B73" t="s">
        <v>85</v>
      </c>
      <c r="C73" t="s">
        <v>152</v>
      </c>
      <c r="D73" t="s">
        <v>68</v>
      </c>
    </row>
    <row r="74" spans="1:4" x14ac:dyDescent="0.25">
      <c r="A74">
        <v>24</v>
      </c>
      <c r="B74" t="s">
        <v>86</v>
      </c>
      <c r="C74" t="s">
        <v>152</v>
      </c>
      <c r="D74" t="s">
        <v>68</v>
      </c>
    </row>
    <row r="75" spans="1:4" x14ac:dyDescent="0.25">
      <c r="A75">
        <v>25</v>
      </c>
      <c r="B75" t="s">
        <v>87</v>
      </c>
      <c r="C75" t="s">
        <v>152</v>
      </c>
      <c r="D75" t="s">
        <v>68</v>
      </c>
    </row>
    <row r="76" spans="1:4" x14ac:dyDescent="0.25">
      <c r="A76">
        <v>26</v>
      </c>
      <c r="B76" t="s">
        <v>88</v>
      </c>
      <c r="C76" t="s">
        <v>152</v>
      </c>
      <c r="D76" t="s">
        <v>68</v>
      </c>
    </row>
    <row r="77" spans="1:4" x14ac:dyDescent="0.25">
      <c r="A77">
        <v>27</v>
      </c>
      <c r="B77" t="s">
        <v>89</v>
      </c>
      <c r="C77" t="s">
        <v>152</v>
      </c>
      <c r="D77" t="s">
        <v>68</v>
      </c>
    </row>
    <row r="78" spans="1:4" x14ac:dyDescent="0.25">
      <c r="A78">
        <v>28</v>
      </c>
      <c r="B78" t="s">
        <v>90</v>
      </c>
      <c r="C78" t="s">
        <v>51</v>
      </c>
      <c r="D78" t="s">
        <v>62</v>
      </c>
    </row>
    <row r="79" spans="1:4" x14ac:dyDescent="0.25">
      <c r="A79">
        <v>29</v>
      </c>
      <c r="B79" t="s">
        <v>91</v>
      </c>
      <c r="C79" t="s">
        <v>51</v>
      </c>
      <c r="D79" t="s">
        <v>62</v>
      </c>
    </row>
    <row r="80" spans="1:4" x14ac:dyDescent="0.25">
      <c r="A80">
        <v>30</v>
      </c>
      <c r="B80" t="s">
        <v>92</v>
      </c>
      <c r="C80" t="s">
        <v>51</v>
      </c>
      <c r="D80" t="s">
        <v>62</v>
      </c>
    </row>
    <row r="81" spans="1:4" x14ac:dyDescent="0.25">
      <c r="A81">
        <v>31</v>
      </c>
      <c r="B81" t="s">
        <v>93</v>
      </c>
      <c r="C81" t="s">
        <v>51</v>
      </c>
      <c r="D81" t="s">
        <v>62</v>
      </c>
    </row>
    <row r="82" spans="1:4" x14ac:dyDescent="0.25">
      <c r="A82">
        <v>32</v>
      </c>
      <c r="B82" t="s">
        <v>94</v>
      </c>
      <c r="C82" t="s">
        <v>51</v>
      </c>
      <c r="D82" t="s">
        <v>62</v>
      </c>
    </row>
    <row r="83" spans="1:4" x14ac:dyDescent="0.25">
      <c r="A83">
        <v>33</v>
      </c>
      <c r="B83" t="s">
        <v>95</v>
      </c>
      <c r="C83" t="s">
        <v>51</v>
      </c>
      <c r="D83" t="s">
        <v>96</v>
      </c>
    </row>
    <row r="84" spans="1:4" x14ac:dyDescent="0.25">
      <c r="A84">
        <v>34</v>
      </c>
      <c r="B84" t="s">
        <v>97</v>
      </c>
      <c r="C84" t="s">
        <v>51</v>
      </c>
      <c r="D84" t="s">
        <v>96</v>
      </c>
    </row>
    <row r="85" spans="1:4" x14ac:dyDescent="0.25">
      <c r="A85">
        <v>35</v>
      </c>
      <c r="B85" t="s">
        <v>98</v>
      </c>
      <c r="C85" t="s">
        <v>51</v>
      </c>
      <c r="D85" t="s">
        <v>96</v>
      </c>
    </row>
    <row r="86" spans="1:4" x14ac:dyDescent="0.25">
      <c r="A86">
        <v>36</v>
      </c>
      <c r="B86" t="s">
        <v>99</v>
      </c>
      <c r="C86" t="s">
        <v>51</v>
      </c>
      <c r="D86" t="s">
        <v>96</v>
      </c>
    </row>
    <row r="87" spans="1:4" x14ac:dyDescent="0.25">
      <c r="A87">
        <v>37</v>
      </c>
      <c r="B87" t="s">
        <v>100</v>
      </c>
      <c r="C87" t="s">
        <v>51</v>
      </c>
      <c r="D87" t="s">
        <v>101</v>
      </c>
    </row>
    <row r="88" spans="1:4" x14ac:dyDescent="0.25">
      <c r="A88">
        <v>38</v>
      </c>
      <c r="B88" t="s">
        <v>100</v>
      </c>
      <c r="C88" t="s">
        <v>51</v>
      </c>
      <c r="D88" t="s">
        <v>102</v>
      </c>
    </row>
    <row r="89" spans="1:4" x14ac:dyDescent="0.25">
      <c r="A89">
        <v>39</v>
      </c>
      <c r="B89" t="s">
        <v>103</v>
      </c>
      <c r="C89" t="s">
        <v>51</v>
      </c>
      <c r="D89" t="s">
        <v>102</v>
      </c>
    </row>
    <row r="90" spans="1:4" x14ac:dyDescent="0.25">
      <c r="A90">
        <v>40</v>
      </c>
      <c r="B90" t="s">
        <v>104</v>
      </c>
      <c r="C90" t="s">
        <v>51</v>
      </c>
      <c r="D90" t="s">
        <v>102</v>
      </c>
    </row>
    <row r="91" spans="1:4" x14ac:dyDescent="0.25">
      <c r="A91">
        <v>41</v>
      </c>
      <c r="B91" t="s">
        <v>105</v>
      </c>
      <c r="C91" t="s">
        <v>51</v>
      </c>
      <c r="D91" t="s">
        <v>102</v>
      </c>
    </row>
    <row r="92" spans="1:4" x14ac:dyDescent="0.25">
      <c r="A92">
        <v>42</v>
      </c>
      <c r="B92" t="s">
        <v>106</v>
      </c>
      <c r="C92" t="s">
        <v>51</v>
      </c>
      <c r="D92" t="s">
        <v>107</v>
      </c>
    </row>
    <row r="93" spans="1:4" x14ac:dyDescent="0.25">
      <c r="A93">
        <v>43</v>
      </c>
      <c r="B93" t="s">
        <v>108</v>
      </c>
      <c r="C93" t="s">
        <v>51</v>
      </c>
      <c r="D93" t="s">
        <v>107</v>
      </c>
    </row>
    <row r="94" spans="1:4" x14ac:dyDescent="0.25">
      <c r="A94">
        <v>44</v>
      </c>
      <c r="B94" t="s">
        <v>109</v>
      </c>
      <c r="C94" t="s">
        <v>51</v>
      </c>
      <c r="D94" t="s">
        <v>110</v>
      </c>
    </row>
    <row r="95" spans="1:4" x14ac:dyDescent="0.25">
      <c r="A95">
        <v>45</v>
      </c>
      <c r="B95" t="s">
        <v>111</v>
      </c>
      <c r="C95" t="s">
        <v>51</v>
      </c>
      <c r="D95" t="s">
        <v>110</v>
      </c>
    </row>
    <row r="96" spans="1:4" x14ac:dyDescent="0.25">
      <c r="A96">
        <v>46</v>
      </c>
      <c r="B96" t="s">
        <v>73</v>
      </c>
      <c r="C96" t="s">
        <v>51</v>
      </c>
      <c r="D96" t="s">
        <v>68</v>
      </c>
    </row>
    <row r="97" spans="1:4" x14ac:dyDescent="0.25">
      <c r="A97">
        <v>47</v>
      </c>
      <c r="B97" t="s">
        <v>112</v>
      </c>
      <c r="C97" t="s">
        <v>51</v>
      </c>
      <c r="D97" t="s">
        <v>68</v>
      </c>
    </row>
    <row r="98" spans="1:4" x14ac:dyDescent="0.25">
      <c r="A98">
        <v>48</v>
      </c>
      <c r="B98" t="s">
        <v>113</v>
      </c>
      <c r="C98" t="s">
        <v>51</v>
      </c>
      <c r="D98" t="s">
        <v>68</v>
      </c>
    </row>
    <row r="99" spans="1:4" x14ac:dyDescent="0.25">
      <c r="A99">
        <v>49</v>
      </c>
      <c r="B99" t="s">
        <v>103</v>
      </c>
      <c r="C99" t="s">
        <v>51</v>
      </c>
      <c r="D99" t="s">
        <v>68</v>
      </c>
    </row>
    <row r="100" spans="1:4" x14ac:dyDescent="0.25">
      <c r="A100">
        <v>50</v>
      </c>
      <c r="B100" t="s">
        <v>114</v>
      </c>
      <c r="C100" t="s">
        <v>51</v>
      </c>
      <c r="D100" t="s">
        <v>68</v>
      </c>
    </row>
    <row r="101" spans="1:4" x14ac:dyDescent="0.25">
      <c r="A101">
        <v>51</v>
      </c>
      <c r="B101" t="s">
        <v>115</v>
      </c>
      <c r="C101" t="s">
        <v>51</v>
      </c>
      <c r="D101" t="s">
        <v>68</v>
      </c>
    </row>
    <row r="102" spans="1:4" x14ac:dyDescent="0.25">
      <c r="A102">
        <v>52</v>
      </c>
      <c r="B102" t="s">
        <v>116</v>
      </c>
      <c r="C102" t="s">
        <v>51</v>
      </c>
      <c r="D102" t="s">
        <v>68</v>
      </c>
    </row>
    <row r="103" spans="1:4" x14ac:dyDescent="0.25">
      <c r="A103">
        <v>53</v>
      </c>
      <c r="B103" t="s">
        <v>104</v>
      </c>
      <c r="C103" t="s">
        <v>51</v>
      </c>
      <c r="D103" t="s">
        <v>68</v>
      </c>
    </row>
    <row r="104" spans="1:4" x14ac:dyDescent="0.25">
      <c r="A104">
        <v>54</v>
      </c>
      <c r="B104" t="s">
        <v>76</v>
      </c>
      <c r="C104" t="s">
        <v>51</v>
      </c>
      <c r="D104" t="s">
        <v>68</v>
      </c>
    </row>
    <row r="105" spans="1:4" x14ac:dyDescent="0.25">
      <c r="A105">
        <v>55</v>
      </c>
      <c r="B105" t="s">
        <v>72</v>
      </c>
      <c r="C105" t="s">
        <v>51</v>
      </c>
      <c r="D105" t="s">
        <v>68</v>
      </c>
    </row>
    <row r="106" spans="1:4" x14ac:dyDescent="0.25">
      <c r="A106">
        <v>56</v>
      </c>
      <c r="B106" t="s">
        <v>117</v>
      </c>
      <c r="C106" t="s">
        <v>51</v>
      </c>
      <c r="D106" t="s">
        <v>68</v>
      </c>
    </row>
    <row r="107" spans="1:4" x14ac:dyDescent="0.25">
      <c r="A107">
        <v>57</v>
      </c>
      <c r="B107" t="s">
        <v>118</v>
      </c>
      <c r="C107" t="s">
        <v>51</v>
      </c>
      <c r="D107" t="s">
        <v>68</v>
      </c>
    </row>
    <row r="108" spans="1:4" x14ac:dyDescent="0.25">
      <c r="A108">
        <v>58</v>
      </c>
      <c r="B108" t="s">
        <v>75</v>
      </c>
      <c r="C108" t="s">
        <v>51</v>
      </c>
      <c r="D108" t="s">
        <v>68</v>
      </c>
    </row>
    <row r="109" spans="1:4" x14ac:dyDescent="0.25">
      <c r="A109">
        <v>59</v>
      </c>
      <c r="B109" t="s">
        <v>119</v>
      </c>
      <c r="C109" t="s">
        <v>51</v>
      </c>
      <c r="D109" t="s">
        <v>68</v>
      </c>
    </row>
    <row r="110" spans="1:4" x14ac:dyDescent="0.25">
      <c r="A110">
        <v>60</v>
      </c>
      <c r="B110" t="s">
        <v>69</v>
      </c>
      <c r="C110" t="s">
        <v>51</v>
      </c>
      <c r="D110" t="s">
        <v>68</v>
      </c>
    </row>
    <row r="111" spans="1:4" x14ac:dyDescent="0.25">
      <c r="A111">
        <v>61</v>
      </c>
      <c r="B111" t="s">
        <v>120</v>
      </c>
      <c r="C111" t="s">
        <v>51</v>
      </c>
      <c r="D111" t="s">
        <v>68</v>
      </c>
    </row>
    <row r="112" spans="1:4" x14ac:dyDescent="0.25">
      <c r="A112">
        <v>62</v>
      </c>
      <c r="B112" t="s">
        <v>121</v>
      </c>
      <c r="C112" t="s">
        <v>51</v>
      </c>
      <c r="D112" t="s">
        <v>68</v>
      </c>
    </row>
    <row r="113" spans="1:4" x14ac:dyDescent="0.25">
      <c r="A113">
        <v>63</v>
      </c>
      <c r="B113" t="s">
        <v>122</v>
      </c>
      <c r="C113" t="s">
        <v>51</v>
      </c>
      <c r="D113" t="s">
        <v>68</v>
      </c>
    </row>
    <row r="114" spans="1:4" x14ac:dyDescent="0.25">
      <c r="A114">
        <v>64</v>
      </c>
      <c r="B114" t="s">
        <v>81</v>
      </c>
      <c r="C114" t="s">
        <v>51</v>
      </c>
      <c r="D114" t="s">
        <v>68</v>
      </c>
    </row>
    <row r="115" spans="1:4" x14ac:dyDescent="0.25">
      <c r="A115">
        <v>65</v>
      </c>
      <c r="B115" t="s">
        <v>123</v>
      </c>
      <c r="C115" t="s">
        <v>51</v>
      </c>
      <c r="D115" t="s">
        <v>68</v>
      </c>
    </row>
    <row r="116" spans="1:4" x14ac:dyDescent="0.25">
      <c r="A116">
        <v>66</v>
      </c>
      <c r="B116" t="s">
        <v>310</v>
      </c>
      <c r="C116" t="s">
        <v>169</v>
      </c>
      <c r="D116" t="s">
        <v>68</v>
      </c>
    </row>
    <row r="117" spans="1:4" x14ac:dyDescent="0.25">
      <c r="A117">
        <v>67</v>
      </c>
      <c r="B117" t="s">
        <v>113</v>
      </c>
      <c r="C117" t="s">
        <v>169</v>
      </c>
      <c r="D117" t="s">
        <v>68</v>
      </c>
    </row>
    <row r="118" spans="1:4" x14ac:dyDescent="0.25">
      <c r="A118">
        <v>68</v>
      </c>
      <c r="B118" t="s">
        <v>311</v>
      </c>
      <c r="C118" t="s">
        <v>169</v>
      </c>
      <c r="D118" t="s">
        <v>68</v>
      </c>
    </row>
    <row r="119" spans="1:4" x14ac:dyDescent="0.25">
      <c r="A119">
        <v>69</v>
      </c>
      <c r="B119" t="s">
        <v>103</v>
      </c>
      <c r="C119" t="s">
        <v>169</v>
      </c>
      <c r="D119" t="s">
        <v>68</v>
      </c>
    </row>
    <row r="120" spans="1:4" x14ac:dyDescent="0.25">
      <c r="A120">
        <v>70</v>
      </c>
      <c r="B120" t="s">
        <v>312</v>
      </c>
      <c r="C120" t="s">
        <v>169</v>
      </c>
      <c r="D120" t="s">
        <v>68</v>
      </c>
    </row>
    <row r="121" spans="1:4" x14ac:dyDescent="0.25">
      <c r="A121">
        <v>71</v>
      </c>
      <c r="B121" t="s">
        <v>313</v>
      </c>
      <c r="C121" t="s">
        <v>169</v>
      </c>
      <c r="D121" t="s">
        <v>68</v>
      </c>
    </row>
    <row r="122" spans="1:4" x14ac:dyDescent="0.25">
      <c r="A122">
        <v>72</v>
      </c>
      <c r="B122" t="s">
        <v>314</v>
      </c>
      <c r="C122" t="s">
        <v>169</v>
      </c>
      <c r="D122" t="s">
        <v>68</v>
      </c>
    </row>
    <row r="123" spans="1:4" x14ac:dyDescent="0.25">
      <c r="A123">
        <v>73</v>
      </c>
      <c r="B123" t="s">
        <v>76</v>
      </c>
      <c r="C123" t="s">
        <v>169</v>
      </c>
      <c r="D123" t="s">
        <v>68</v>
      </c>
    </row>
    <row r="124" spans="1:4" x14ac:dyDescent="0.25">
      <c r="A124">
        <v>74</v>
      </c>
      <c r="B124" t="s">
        <v>315</v>
      </c>
      <c r="C124" t="s">
        <v>169</v>
      </c>
      <c r="D124" t="s">
        <v>68</v>
      </c>
    </row>
    <row r="125" spans="1:4" x14ac:dyDescent="0.25">
      <c r="A125">
        <v>75</v>
      </c>
      <c r="B125" t="s">
        <v>81</v>
      </c>
      <c r="C125" t="s">
        <v>169</v>
      </c>
      <c r="D125" t="s">
        <v>68</v>
      </c>
    </row>
    <row r="126" spans="1:4" x14ac:dyDescent="0.25">
      <c r="A126">
        <v>76</v>
      </c>
      <c r="B126" t="s">
        <v>316</v>
      </c>
      <c r="C126" t="s">
        <v>169</v>
      </c>
      <c r="D126" t="s">
        <v>62</v>
      </c>
    </row>
    <row r="127" spans="1:4" x14ac:dyDescent="0.25">
      <c r="A127">
        <v>77</v>
      </c>
      <c r="B127" t="s">
        <v>317</v>
      </c>
      <c r="C127" t="s">
        <v>169</v>
      </c>
      <c r="D127" t="s">
        <v>62</v>
      </c>
    </row>
    <row r="128" spans="1:4" x14ac:dyDescent="0.25">
      <c r="A128">
        <v>78</v>
      </c>
      <c r="B128" t="s">
        <v>318</v>
      </c>
      <c r="C128" t="s">
        <v>169</v>
      </c>
      <c r="D128" t="s">
        <v>68</v>
      </c>
    </row>
    <row r="129" spans="1:4" x14ac:dyDescent="0.25">
      <c r="A129">
        <v>79</v>
      </c>
      <c r="B129" t="s">
        <v>75</v>
      </c>
      <c r="C129" t="s">
        <v>169</v>
      </c>
      <c r="D129" t="s">
        <v>68</v>
      </c>
    </row>
    <row r="130" spans="1:4" x14ac:dyDescent="0.25">
      <c r="A130">
        <v>80</v>
      </c>
      <c r="B130" t="s">
        <v>319</v>
      </c>
      <c r="C130" t="s">
        <v>169</v>
      </c>
      <c r="D130" t="s">
        <v>68</v>
      </c>
    </row>
    <row r="131" spans="1:4" x14ac:dyDescent="0.25">
      <c r="A131">
        <v>81</v>
      </c>
      <c r="B131" t="s">
        <v>83</v>
      </c>
      <c r="C131" t="s">
        <v>169</v>
      </c>
      <c r="D131" t="s">
        <v>68</v>
      </c>
    </row>
    <row r="132" spans="1:4" x14ac:dyDescent="0.25">
      <c r="A132">
        <v>82</v>
      </c>
      <c r="B132" t="s">
        <v>320</v>
      </c>
      <c r="C132" t="s">
        <v>169</v>
      </c>
      <c r="D132" t="s">
        <v>68</v>
      </c>
    </row>
    <row r="133" spans="1:4" x14ac:dyDescent="0.25">
      <c r="A133">
        <v>83</v>
      </c>
      <c r="B133" t="s">
        <v>84</v>
      </c>
      <c r="C133" t="s">
        <v>169</v>
      </c>
      <c r="D133" t="s">
        <v>68</v>
      </c>
    </row>
    <row r="134" spans="1:4" x14ac:dyDescent="0.25">
      <c r="A134">
        <v>84</v>
      </c>
      <c r="B134" t="s">
        <v>321</v>
      </c>
      <c r="C134" t="s">
        <v>169</v>
      </c>
      <c r="D134" t="s">
        <v>68</v>
      </c>
    </row>
    <row r="135" spans="1:4" x14ac:dyDescent="0.25">
      <c r="A135">
        <v>85</v>
      </c>
      <c r="B135" t="s">
        <v>120</v>
      </c>
      <c r="C135" t="s">
        <v>169</v>
      </c>
      <c r="D135" t="s">
        <v>68</v>
      </c>
    </row>
    <row r="136" spans="1:4" x14ac:dyDescent="0.25">
      <c r="A136">
        <v>86</v>
      </c>
      <c r="B136" t="s">
        <v>322</v>
      </c>
      <c r="C136" t="s">
        <v>169</v>
      </c>
      <c r="D136" t="s">
        <v>68</v>
      </c>
    </row>
    <row r="137" spans="1:4" x14ac:dyDescent="0.25">
      <c r="A137">
        <v>87</v>
      </c>
      <c r="B137" t="s">
        <v>323</v>
      </c>
      <c r="C137" t="s">
        <v>169</v>
      </c>
      <c r="D137" t="s">
        <v>68</v>
      </c>
    </row>
    <row r="138" spans="1:4" x14ac:dyDescent="0.25">
      <c r="A138">
        <v>88</v>
      </c>
      <c r="B138" t="s">
        <v>324</v>
      </c>
      <c r="C138" t="s">
        <v>169</v>
      </c>
      <c r="D138" t="s">
        <v>68</v>
      </c>
    </row>
    <row r="139" spans="1:4" x14ac:dyDescent="0.25">
      <c r="A139">
        <v>89</v>
      </c>
      <c r="B139" t="s">
        <v>325</v>
      </c>
      <c r="C139" t="s">
        <v>169</v>
      </c>
      <c r="D139" t="s">
        <v>68</v>
      </c>
    </row>
    <row r="140" spans="1:4" x14ac:dyDescent="0.25">
      <c r="A140">
        <v>90</v>
      </c>
      <c r="B140" t="s">
        <v>326</v>
      </c>
      <c r="C140" t="s">
        <v>169</v>
      </c>
      <c r="D140" t="s">
        <v>68</v>
      </c>
    </row>
    <row r="141" spans="1:4" x14ac:dyDescent="0.25">
      <c r="A141">
        <v>91</v>
      </c>
      <c r="B141" t="s">
        <v>327</v>
      </c>
      <c r="C141" t="s">
        <v>169</v>
      </c>
      <c r="D141" t="s">
        <v>68</v>
      </c>
    </row>
    <row r="142" spans="1:4" x14ac:dyDescent="0.25">
      <c r="A142">
        <v>92</v>
      </c>
      <c r="B142" t="s">
        <v>69</v>
      </c>
      <c r="C142" t="s">
        <v>169</v>
      </c>
      <c r="D142" t="s">
        <v>68</v>
      </c>
    </row>
    <row r="143" spans="1:4" x14ac:dyDescent="0.25">
      <c r="A143">
        <v>93</v>
      </c>
      <c r="B143" t="s">
        <v>328</v>
      </c>
      <c r="C143" t="s">
        <v>169</v>
      </c>
      <c r="D143" t="s">
        <v>68</v>
      </c>
    </row>
    <row r="144" spans="1:4" x14ac:dyDescent="0.25">
      <c r="A144">
        <v>94</v>
      </c>
      <c r="B144" t="s">
        <v>329</v>
      </c>
      <c r="C144" t="s">
        <v>169</v>
      </c>
      <c r="D144" t="s">
        <v>62</v>
      </c>
    </row>
    <row r="145" spans="1:4" x14ac:dyDescent="0.25">
      <c r="A145">
        <v>95</v>
      </c>
      <c r="B145" t="s">
        <v>330</v>
      </c>
      <c r="C145" t="s">
        <v>169</v>
      </c>
      <c r="D145" t="s">
        <v>62</v>
      </c>
    </row>
    <row r="146" spans="1:4" x14ac:dyDescent="0.25">
      <c r="A146">
        <v>96</v>
      </c>
      <c r="B146" t="s">
        <v>265</v>
      </c>
      <c r="C146" t="s">
        <v>169</v>
      </c>
      <c r="D146" t="s">
        <v>62</v>
      </c>
    </row>
    <row r="147" spans="1:4" x14ac:dyDescent="0.25">
      <c r="A147">
        <v>97</v>
      </c>
      <c r="B147" t="s">
        <v>73</v>
      </c>
      <c r="C147" t="s">
        <v>156</v>
      </c>
      <c r="D147" t="s">
        <v>68</v>
      </c>
    </row>
    <row r="148" spans="1:4" x14ac:dyDescent="0.25">
      <c r="A148">
        <v>98</v>
      </c>
      <c r="B148" t="s">
        <v>331</v>
      </c>
      <c r="C148" t="s">
        <v>156</v>
      </c>
      <c r="D148" t="s">
        <v>68</v>
      </c>
    </row>
    <row r="149" spans="1:4" x14ac:dyDescent="0.25">
      <c r="A149">
        <v>99</v>
      </c>
      <c r="B149" t="s">
        <v>113</v>
      </c>
      <c r="C149" t="s">
        <v>156</v>
      </c>
      <c r="D149" t="s">
        <v>68</v>
      </c>
    </row>
    <row r="150" spans="1:4" x14ac:dyDescent="0.25">
      <c r="A150">
        <v>100</v>
      </c>
      <c r="B150" t="s">
        <v>332</v>
      </c>
      <c r="C150" t="s">
        <v>156</v>
      </c>
      <c r="D150" t="s">
        <v>68</v>
      </c>
    </row>
    <row r="151" spans="1:4" x14ac:dyDescent="0.25">
      <c r="A151">
        <v>101</v>
      </c>
      <c r="B151" t="s">
        <v>333</v>
      </c>
      <c r="C151" t="s">
        <v>156</v>
      </c>
      <c r="D151" t="s">
        <v>68</v>
      </c>
    </row>
    <row r="152" spans="1:4" x14ac:dyDescent="0.25">
      <c r="A152">
        <v>102</v>
      </c>
      <c r="B152" t="s">
        <v>103</v>
      </c>
      <c r="C152" t="s">
        <v>156</v>
      </c>
      <c r="D152" t="s">
        <v>68</v>
      </c>
    </row>
    <row r="153" spans="1:4" x14ac:dyDescent="0.25">
      <c r="A153">
        <v>103</v>
      </c>
      <c r="B153" t="s">
        <v>334</v>
      </c>
      <c r="C153" t="s">
        <v>156</v>
      </c>
      <c r="D153" t="s">
        <v>68</v>
      </c>
    </row>
    <row r="154" spans="1:4" x14ac:dyDescent="0.25">
      <c r="A154">
        <v>104</v>
      </c>
      <c r="B154" t="s">
        <v>335</v>
      </c>
      <c r="C154" t="s">
        <v>156</v>
      </c>
      <c r="D154" t="s">
        <v>68</v>
      </c>
    </row>
    <row r="155" spans="1:4" x14ac:dyDescent="0.25">
      <c r="A155">
        <v>105</v>
      </c>
      <c r="B155" t="s">
        <v>336</v>
      </c>
      <c r="C155" t="s">
        <v>156</v>
      </c>
      <c r="D155" t="s">
        <v>68</v>
      </c>
    </row>
    <row r="156" spans="1:4" x14ac:dyDescent="0.25">
      <c r="A156">
        <v>106</v>
      </c>
      <c r="B156" t="s">
        <v>337</v>
      </c>
      <c r="C156" t="s">
        <v>156</v>
      </c>
      <c r="D156" t="s">
        <v>68</v>
      </c>
    </row>
    <row r="157" spans="1:4" x14ac:dyDescent="0.25">
      <c r="A157">
        <v>107</v>
      </c>
      <c r="B157" t="s">
        <v>338</v>
      </c>
      <c r="C157" t="s">
        <v>156</v>
      </c>
      <c r="D157" t="s">
        <v>68</v>
      </c>
    </row>
    <row r="158" spans="1:4" x14ac:dyDescent="0.25">
      <c r="A158">
        <v>108</v>
      </c>
      <c r="B158" t="s">
        <v>339</v>
      </c>
      <c r="C158" t="s">
        <v>156</v>
      </c>
      <c r="D158" t="s">
        <v>68</v>
      </c>
    </row>
    <row r="159" spans="1:4" x14ac:dyDescent="0.25">
      <c r="A159">
        <v>109</v>
      </c>
      <c r="B159" t="s">
        <v>260</v>
      </c>
      <c r="C159" t="s">
        <v>156</v>
      </c>
      <c r="D159" t="s">
        <v>340</v>
      </c>
    </row>
    <row r="160" spans="1:4" x14ac:dyDescent="0.25">
      <c r="A160">
        <v>110</v>
      </c>
      <c r="B160" t="s">
        <v>341</v>
      </c>
      <c r="C160" t="s">
        <v>156</v>
      </c>
      <c r="D160" t="s">
        <v>340</v>
      </c>
    </row>
    <row r="161" spans="1:4" x14ac:dyDescent="0.25">
      <c r="A161">
        <v>111</v>
      </c>
      <c r="B161" t="s">
        <v>90</v>
      </c>
      <c r="C161" t="s">
        <v>156</v>
      </c>
      <c r="D161" t="s">
        <v>340</v>
      </c>
    </row>
    <row r="162" spans="1:4" x14ac:dyDescent="0.25">
      <c r="A162">
        <v>112</v>
      </c>
      <c r="B162" t="s">
        <v>342</v>
      </c>
      <c r="C162" t="s">
        <v>156</v>
      </c>
      <c r="D162" t="s">
        <v>340</v>
      </c>
    </row>
    <row r="163" spans="1:4" x14ac:dyDescent="0.25">
      <c r="A163">
        <v>113</v>
      </c>
      <c r="B163" t="s">
        <v>92</v>
      </c>
      <c r="C163" t="s">
        <v>156</v>
      </c>
      <c r="D163" t="s">
        <v>340</v>
      </c>
    </row>
    <row r="164" spans="1:4" x14ac:dyDescent="0.25">
      <c r="A164">
        <v>114</v>
      </c>
      <c r="B164" t="s">
        <v>91</v>
      </c>
      <c r="C164" t="s">
        <v>156</v>
      </c>
      <c r="D164" t="s">
        <v>340</v>
      </c>
    </row>
    <row r="165" spans="1:4" x14ac:dyDescent="0.25">
      <c r="A165">
        <v>115</v>
      </c>
      <c r="B165" t="s">
        <v>343</v>
      </c>
      <c r="C165" t="s">
        <v>156</v>
      </c>
      <c r="D165" t="s">
        <v>340</v>
      </c>
    </row>
    <row r="166" spans="1:4" x14ac:dyDescent="0.25">
      <c r="A166">
        <v>116</v>
      </c>
      <c r="B166" t="s">
        <v>344</v>
      </c>
      <c r="C166" t="s">
        <v>156</v>
      </c>
      <c r="D166" t="s">
        <v>96</v>
      </c>
    </row>
    <row r="167" spans="1:4" x14ac:dyDescent="0.25">
      <c r="A167">
        <v>117</v>
      </c>
      <c r="B167" t="s">
        <v>329</v>
      </c>
      <c r="C167" t="s">
        <v>156</v>
      </c>
      <c r="D167" t="s">
        <v>96</v>
      </c>
    </row>
    <row r="168" spans="1:4" x14ac:dyDescent="0.25">
      <c r="A168">
        <v>118</v>
      </c>
      <c r="B168" t="s">
        <v>265</v>
      </c>
      <c r="C168" t="s">
        <v>156</v>
      </c>
      <c r="D168" t="s">
        <v>96</v>
      </c>
    </row>
    <row r="169" spans="1:4" x14ac:dyDescent="0.25">
      <c r="A169">
        <v>119</v>
      </c>
      <c r="B169" t="s">
        <v>345</v>
      </c>
      <c r="C169" t="s">
        <v>156</v>
      </c>
      <c r="D169" t="s">
        <v>96</v>
      </c>
    </row>
    <row r="170" spans="1:4" x14ac:dyDescent="0.25">
      <c r="A170">
        <v>120</v>
      </c>
      <c r="B170" t="s">
        <v>346</v>
      </c>
      <c r="C170" t="s">
        <v>156</v>
      </c>
      <c r="D170" t="s">
        <v>96</v>
      </c>
    </row>
    <row r="171" spans="1:4" x14ac:dyDescent="0.25">
      <c r="A171">
        <v>121</v>
      </c>
      <c r="B171" t="s">
        <v>347</v>
      </c>
      <c r="C171" t="s">
        <v>156</v>
      </c>
      <c r="D171" t="s">
        <v>96</v>
      </c>
    </row>
    <row r="172" spans="1:4" x14ac:dyDescent="0.25">
      <c r="A172">
        <v>122</v>
      </c>
      <c r="B172" t="s">
        <v>73</v>
      </c>
      <c r="C172" t="s">
        <v>248</v>
      </c>
      <c r="D172" t="s">
        <v>68</v>
      </c>
    </row>
    <row r="173" spans="1:4" x14ac:dyDescent="0.25">
      <c r="A173">
        <v>123</v>
      </c>
      <c r="B173" t="s">
        <v>72</v>
      </c>
      <c r="C173" t="s">
        <v>248</v>
      </c>
      <c r="D173" t="s">
        <v>68</v>
      </c>
    </row>
    <row r="174" spans="1:4" x14ac:dyDescent="0.25">
      <c r="A174">
        <v>124</v>
      </c>
      <c r="B174" t="s">
        <v>328</v>
      </c>
      <c r="C174" t="s">
        <v>248</v>
      </c>
      <c r="D174" t="s">
        <v>68</v>
      </c>
    </row>
    <row r="175" spans="1:4" x14ac:dyDescent="0.25">
      <c r="A175">
        <v>125</v>
      </c>
      <c r="B175" t="s">
        <v>69</v>
      </c>
      <c r="C175" t="s">
        <v>248</v>
      </c>
      <c r="D175" t="s">
        <v>68</v>
      </c>
    </row>
    <row r="176" spans="1:4" x14ac:dyDescent="0.25">
      <c r="A176">
        <v>126</v>
      </c>
      <c r="B176" t="s">
        <v>348</v>
      </c>
      <c r="C176" t="s">
        <v>248</v>
      </c>
      <c r="D176" t="s">
        <v>68</v>
      </c>
    </row>
    <row r="177" spans="1:4" x14ac:dyDescent="0.25">
      <c r="A177">
        <v>127</v>
      </c>
      <c r="B177" t="s">
        <v>349</v>
      </c>
      <c r="C177" t="s">
        <v>248</v>
      </c>
      <c r="D177" t="s">
        <v>68</v>
      </c>
    </row>
    <row r="178" spans="1:4" x14ac:dyDescent="0.25">
      <c r="A178">
        <v>128</v>
      </c>
      <c r="B178" t="s">
        <v>81</v>
      </c>
      <c r="C178" t="s">
        <v>248</v>
      </c>
      <c r="D178" t="s">
        <v>68</v>
      </c>
    </row>
    <row r="179" spans="1:4" x14ac:dyDescent="0.25">
      <c r="A179">
        <v>129</v>
      </c>
      <c r="B179" t="s">
        <v>84</v>
      </c>
      <c r="C179" t="s">
        <v>248</v>
      </c>
      <c r="D179" t="s">
        <v>68</v>
      </c>
    </row>
    <row r="180" spans="1:4" x14ac:dyDescent="0.25">
      <c r="A180">
        <v>130</v>
      </c>
      <c r="B180" t="s">
        <v>78</v>
      </c>
      <c r="C180" t="s">
        <v>248</v>
      </c>
      <c r="D180" t="s">
        <v>68</v>
      </c>
    </row>
    <row r="181" spans="1:4" x14ac:dyDescent="0.25">
      <c r="A181">
        <v>131</v>
      </c>
      <c r="B181" t="s">
        <v>324</v>
      </c>
      <c r="C181" t="s">
        <v>248</v>
      </c>
      <c r="D181" t="s">
        <v>68</v>
      </c>
    </row>
    <row r="182" spans="1:4" x14ac:dyDescent="0.25">
      <c r="A182">
        <v>132</v>
      </c>
      <c r="B182" t="s">
        <v>76</v>
      </c>
      <c r="C182" t="s">
        <v>248</v>
      </c>
      <c r="D182" t="s">
        <v>68</v>
      </c>
    </row>
    <row r="183" spans="1:4" x14ac:dyDescent="0.25">
      <c r="A183">
        <v>133</v>
      </c>
      <c r="B183" t="s">
        <v>350</v>
      </c>
      <c r="C183" t="s">
        <v>248</v>
      </c>
      <c r="D183" t="s">
        <v>68</v>
      </c>
    </row>
    <row r="184" spans="1:4" x14ac:dyDescent="0.25">
      <c r="A184">
        <v>134</v>
      </c>
      <c r="B184" t="s">
        <v>77</v>
      </c>
      <c r="C184" t="s">
        <v>248</v>
      </c>
      <c r="D184" t="s">
        <v>68</v>
      </c>
    </row>
    <row r="185" spans="1:4" x14ac:dyDescent="0.25">
      <c r="A185">
        <v>135</v>
      </c>
      <c r="B185" t="s">
        <v>351</v>
      </c>
      <c r="C185" t="s">
        <v>248</v>
      </c>
      <c r="D185" t="s">
        <v>68</v>
      </c>
    </row>
    <row r="186" spans="1:4" x14ac:dyDescent="0.25">
      <c r="A186">
        <v>136</v>
      </c>
      <c r="B186" t="s">
        <v>75</v>
      </c>
      <c r="C186" t="s">
        <v>248</v>
      </c>
      <c r="D186" t="s">
        <v>68</v>
      </c>
    </row>
    <row r="187" spans="1:4" x14ac:dyDescent="0.25">
      <c r="A187">
        <v>137</v>
      </c>
      <c r="B187" t="s">
        <v>71</v>
      </c>
      <c r="C187" t="s">
        <v>248</v>
      </c>
      <c r="D187" t="s">
        <v>68</v>
      </c>
    </row>
    <row r="188" spans="1:4" x14ac:dyDescent="0.25">
      <c r="A188">
        <v>138</v>
      </c>
      <c r="B188" t="s">
        <v>352</v>
      </c>
      <c r="C188" t="s">
        <v>248</v>
      </c>
      <c r="D188" t="s">
        <v>68</v>
      </c>
    </row>
    <row r="189" spans="1:4" x14ac:dyDescent="0.25">
      <c r="A189">
        <v>139</v>
      </c>
      <c r="B189" t="s">
        <v>312</v>
      </c>
      <c r="C189" t="s">
        <v>248</v>
      </c>
      <c r="D189" t="s">
        <v>68</v>
      </c>
    </row>
    <row r="190" spans="1:4" x14ac:dyDescent="0.25">
      <c r="A190">
        <v>140</v>
      </c>
      <c r="B190" t="s">
        <v>353</v>
      </c>
      <c r="C190" t="s">
        <v>248</v>
      </c>
      <c r="D190" t="s">
        <v>68</v>
      </c>
    </row>
    <row r="191" spans="1:4" x14ac:dyDescent="0.25">
      <c r="A191">
        <v>141</v>
      </c>
      <c r="B191" t="s">
        <v>329</v>
      </c>
      <c r="C191" t="s">
        <v>248</v>
      </c>
      <c r="D191" t="s">
        <v>62</v>
      </c>
    </row>
    <row r="192" spans="1:4" x14ac:dyDescent="0.25">
      <c r="A192">
        <v>142</v>
      </c>
      <c r="B192" t="s">
        <v>93</v>
      </c>
      <c r="C192" t="s">
        <v>248</v>
      </c>
      <c r="D192" t="s">
        <v>62</v>
      </c>
    </row>
    <row r="193" spans="1:4" x14ac:dyDescent="0.25">
      <c r="A193">
        <v>143</v>
      </c>
      <c r="B193" t="s">
        <v>265</v>
      </c>
      <c r="C193" t="s">
        <v>248</v>
      </c>
      <c r="D193" t="s">
        <v>62</v>
      </c>
    </row>
    <row r="194" spans="1:4" x14ac:dyDescent="0.25">
      <c r="A194">
        <v>144</v>
      </c>
      <c r="B194" t="s">
        <v>94</v>
      </c>
      <c r="C194" t="s">
        <v>248</v>
      </c>
      <c r="D194" t="s">
        <v>62</v>
      </c>
    </row>
    <row r="195" spans="1:4" x14ac:dyDescent="0.25">
      <c r="A195">
        <v>145</v>
      </c>
      <c r="B195" t="s">
        <v>73</v>
      </c>
      <c r="C195" t="s">
        <v>246</v>
      </c>
      <c r="D195" t="s">
        <v>68</v>
      </c>
    </row>
    <row r="196" spans="1:4" x14ac:dyDescent="0.25">
      <c r="A196">
        <v>146</v>
      </c>
      <c r="B196" t="s">
        <v>103</v>
      </c>
      <c r="C196" t="s">
        <v>246</v>
      </c>
      <c r="D196" t="s">
        <v>68</v>
      </c>
    </row>
    <row r="197" spans="1:4" x14ac:dyDescent="0.25">
      <c r="A197">
        <v>147</v>
      </c>
      <c r="B197" t="s">
        <v>104</v>
      </c>
      <c r="C197" t="s">
        <v>246</v>
      </c>
      <c r="D197" t="s">
        <v>68</v>
      </c>
    </row>
    <row r="198" spans="1:4" x14ac:dyDescent="0.25">
      <c r="A198">
        <v>148</v>
      </c>
      <c r="B198" t="s">
        <v>319</v>
      </c>
      <c r="C198" t="s">
        <v>246</v>
      </c>
      <c r="D198" t="s">
        <v>68</v>
      </c>
    </row>
    <row r="199" spans="1:4" x14ac:dyDescent="0.25">
      <c r="A199">
        <v>149</v>
      </c>
      <c r="B199" t="s">
        <v>75</v>
      </c>
      <c r="C199" t="s">
        <v>246</v>
      </c>
      <c r="D199" t="s">
        <v>68</v>
      </c>
    </row>
    <row r="200" spans="1:4" x14ac:dyDescent="0.25">
      <c r="A200">
        <v>150</v>
      </c>
      <c r="B200" t="s">
        <v>354</v>
      </c>
      <c r="C200" t="s">
        <v>246</v>
      </c>
      <c r="D200" t="s">
        <v>68</v>
      </c>
    </row>
    <row r="201" spans="1:4" x14ac:dyDescent="0.25">
      <c r="A201">
        <v>151</v>
      </c>
      <c r="B201" t="s">
        <v>355</v>
      </c>
      <c r="C201" t="s">
        <v>246</v>
      </c>
      <c r="D201" t="s">
        <v>68</v>
      </c>
    </row>
    <row r="202" spans="1:4" x14ac:dyDescent="0.25">
      <c r="A202">
        <v>152</v>
      </c>
      <c r="B202" t="s">
        <v>83</v>
      </c>
      <c r="C202" t="s">
        <v>246</v>
      </c>
      <c r="D202" t="s">
        <v>68</v>
      </c>
    </row>
    <row r="203" spans="1:4" x14ac:dyDescent="0.25">
      <c r="A203">
        <v>153</v>
      </c>
      <c r="B203" t="s">
        <v>121</v>
      </c>
      <c r="C203" t="s">
        <v>246</v>
      </c>
      <c r="D203" t="s">
        <v>68</v>
      </c>
    </row>
    <row r="204" spans="1:4" x14ac:dyDescent="0.25">
      <c r="A204">
        <v>154</v>
      </c>
      <c r="B204" t="s">
        <v>324</v>
      </c>
      <c r="C204" t="s">
        <v>246</v>
      </c>
      <c r="D204" t="s">
        <v>68</v>
      </c>
    </row>
    <row r="205" spans="1:4" x14ac:dyDescent="0.25">
      <c r="A205">
        <v>155</v>
      </c>
      <c r="B205" t="s">
        <v>69</v>
      </c>
      <c r="C205" t="s">
        <v>246</v>
      </c>
      <c r="D205" t="s">
        <v>68</v>
      </c>
    </row>
    <row r="206" spans="1:4" x14ac:dyDescent="0.25">
      <c r="A206">
        <v>156</v>
      </c>
      <c r="B206" t="s">
        <v>81</v>
      </c>
      <c r="C206" t="s">
        <v>246</v>
      </c>
      <c r="D206" t="s">
        <v>68</v>
      </c>
    </row>
    <row r="207" spans="1:4" x14ac:dyDescent="0.25">
      <c r="A207">
        <v>157</v>
      </c>
      <c r="B207" t="s">
        <v>79</v>
      </c>
      <c r="C207" t="s">
        <v>246</v>
      </c>
      <c r="D207" t="s">
        <v>68</v>
      </c>
    </row>
    <row r="208" spans="1:4" x14ac:dyDescent="0.25">
      <c r="A208">
        <v>158</v>
      </c>
      <c r="B208" t="s">
        <v>88</v>
      </c>
      <c r="C208" t="s">
        <v>246</v>
      </c>
      <c r="D208" t="s">
        <v>96</v>
      </c>
    </row>
    <row r="209" spans="1:4" x14ac:dyDescent="0.25">
      <c r="A209">
        <v>159</v>
      </c>
      <c r="B209" t="s">
        <v>93</v>
      </c>
      <c r="C209" t="s">
        <v>246</v>
      </c>
      <c r="D209" t="s">
        <v>96</v>
      </c>
    </row>
    <row r="210" spans="1:4" x14ac:dyDescent="0.25">
      <c r="A210">
        <v>160</v>
      </c>
      <c r="B210" t="s">
        <v>356</v>
      </c>
      <c r="C210" t="s">
        <v>246</v>
      </c>
      <c r="D210" t="s">
        <v>96</v>
      </c>
    </row>
    <row r="211" spans="1:4" x14ac:dyDescent="0.25">
      <c r="A211">
        <v>161</v>
      </c>
      <c r="B211" t="s">
        <v>66</v>
      </c>
      <c r="C211" t="s">
        <v>246</v>
      </c>
      <c r="D211" t="s">
        <v>357</v>
      </c>
    </row>
    <row r="212" spans="1:4" x14ac:dyDescent="0.25">
      <c r="A212">
        <v>162</v>
      </c>
      <c r="B212" t="s">
        <v>358</v>
      </c>
      <c r="C212" t="s">
        <v>246</v>
      </c>
      <c r="D212" t="s">
        <v>357</v>
      </c>
    </row>
    <row r="213" spans="1:4" x14ac:dyDescent="0.25">
      <c r="A213">
        <v>163</v>
      </c>
      <c r="B213" t="s">
        <v>359</v>
      </c>
      <c r="C213" t="s">
        <v>246</v>
      </c>
      <c r="D213" t="s">
        <v>357</v>
      </c>
    </row>
    <row r="214" spans="1:4" x14ac:dyDescent="0.25">
      <c r="A214">
        <v>164</v>
      </c>
      <c r="B214" t="s">
        <v>360</v>
      </c>
      <c r="C214" t="s">
        <v>246</v>
      </c>
      <c r="D214" t="s">
        <v>361</v>
      </c>
    </row>
    <row r="215" spans="1:4" x14ac:dyDescent="0.25">
      <c r="A215">
        <v>165</v>
      </c>
      <c r="B215" t="s">
        <v>362</v>
      </c>
      <c r="C215" t="s">
        <v>246</v>
      </c>
      <c r="D215" t="s">
        <v>361</v>
      </c>
    </row>
    <row r="216" spans="1:4" x14ac:dyDescent="0.25">
      <c r="A216">
        <v>166</v>
      </c>
      <c r="B216" t="s">
        <v>363</v>
      </c>
      <c r="C216" t="s">
        <v>246</v>
      </c>
      <c r="D216" t="s">
        <v>361</v>
      </c>
    </row>
    <row r="217" spans="1:4" x14ac:dyDescent="0.25">
      <c r="A217">
        <v>167</v>
      </c>
      <c r="B217" t="s">
        <v>364</v>
      </c>
      <c r="C217" t="s">
        <v>246</v>
      </c>
      <c r="D217" t="s">
        <v>361</v>
      </c>
    </row>
    <row r="218" spans="1:4" x14ac:dyDescent="0.25">
      <c r="A218">
        <v>168</v>
      </c>
      <c r="B218" t="s">
        <v>56</v>
      </c>
      <c r="C218" t="s">
        <v>246</v>
      </c>
      <c r="D218" t="s">
        <v>361</v>
      </c>
    </row>
    <row r="219" spans="1:4" x14ac:dyDescent="0.25">
      <c r="A219">
        <v>169</v>
      </c>
      <c r="B219" t="s">
        <v>365</v>
      </c>
      <c r="C219" t="s">
        <v>177</v>
      </c>
      <c r="D219" t="s">
        <v>68</v>
      </c>
    </row>
    <row r="220" spans="1:4" x14ac:dyDescent="0.25">
      <c r="A220">
        <v>170</v>
      </c>
      <c r="B220" t="s">
        <v>366</v>
      </c>
      <c r="C220" t="s">
        <v>177</v>
      </c>
      <c r="D220" t="s">
        <v>68</v>
      </c>
    </row>
    <row r="221" spans="1:4" x14ac:dyDescent="0.25">
      <c r="A221">
        <v>171</v>
      </c>
      <c r="B221" t="s">
        <v>103</v>
      </c>
      <c r="C221" t="s">
        <v>177</v>
      </c>
      <c r="D221" t="s">
        <v>68</v>
      </c>
    </row>
    <row r="222" spans="1:4" x14ac:dyDescent="0.25">
      <c r="A222">
        <v>172</v>
      </c>
      <c r="B222" t="s">
        <v>72</v>
      </c>
      <c r="C222" t="s">
        <v>177</v>
      </c>
      <c r="D222" t="s">
        <v>68</v>
      </c>
    </row>
    <row r="223" spans="1:4" x14ac:dyDescent="0.25">
      <c r="A223">
        <v>173</v>
      </c>
      <c r="B223" t="s">
        <v>367</v>
      </c>
      <c r="C223" t="s">
        <v>177</v>
      </c>
      <c r="D223" t="s">
        <v>68</v>
      </c>
    </row>
    <row r="224" spans="1:4" x14ac:dyDescent="0.25">
      <c r="A224">
        <v>174</v>
      </c>
      <c r="B224" t="s">
        <v>368</v>
      </c>
      <c r="C224" t="s">
        <v>177</v>
      </c>
      <c r="D224" t="s">
        <v>68</v>
      </c>
    </row>
    <row r="225" spans="1:4" x14ac:dyDescent="0.25">
      <c r="A225">
        <v>175</v>
      </c>
      <c r="B225" t="s">
        <v>319</v>
      </c>
      <c r="C225" t="s">
        <v>177</v>
      </c>
      <c r="D225" t="s">
        <v>68</v>
      </c>
    </row>
    <row r="226" spans="1:4" x14ac:dyDescent="0.25">
      <c r="A226">
        <v>176</v>
      </c>
      <c r="B226" t="s">
        <v>369</v>
      </c>
      <c r="C226" t="s">
        <v>177</v>
      </c>
      <c r="D226" t="s">
        <v>68</v>
      </c>
    </row>
    <row r="227" spans="1:4" x14ac:dyDescent="0.25">
      <c r="A227">
        <v>177</v>
      </c>
      <c r="B227" t="s">
        <v>370</v>
      </c>
      <c r="C227" t="s">
        <v>177</v>
      </c>
      <c r="D227" t="s">
        <v>68</v>
      </c>
    </row>
    <row r="228" spans="1:4" x14ac:dyDescent="0.25">
      <c r="A228">
        <v>178</v>
      </c>
      <c r="B228" t="s">
        <v>75</v>
      </c>
      <c r="C228" t="s">
        <v>177</v>
      </c>
      <c r="D228" t="s">
        <v>68</v>
      </c>
    </row>
    <row r="229" spans="1:4" x14ac:dyDescent="0.25">
      <c r="A229">
        <v>179</v>
      </c>
      <c r="B229" t="s">
        <v>371</v>
      </c>
      <c r="C229" t="s">
        <v>177</v>
      </c>
      <c r="D229" t="s">
        <v>68</v>
      </c>
    </row>
    <row r="230" spans="1:4" x14ac:dyDescent="0.25">
      <c r="A230">
        <v>180</v>
      </c>
      <c r="B230" t="s">
        <v>372</v>
      </c>
      <c r="C230" t="s">
        <v>177</v>
      </c>
      <c r="D230" t="s">
        <v>68</v>
      </c>
    </row>
    <row r="231" spans="1:4" x14ac:dyDescent="0.25">
      <c r="A231">
        <v>181</v>
      </c>
      <c r="B231" t="s">
        <v>373</v>
      </c>
      <c r="C231" t="s">
        <v>177</v>
      </c>
      <c r="D231" t="s">
        <v>68</v>
      </c>
    </row>
    <row r="232" spans="1:4" x14ac:dyDescent="0.25">
      <c r="A232">
        <v>182</v>
      </c>
      <c r="B232" t="s">
        <v>374</v>
      </c>
      <c r="C232" t="s">
        <v>177</v>
      </c>
      <c r="D232" t="s">
        <v>68</v>
      </c>
    </row>
    <row r="233" spans="1:4" x14ac:dyDescent="0.25">
      <c r="A233">
        <v>183</v>
      </c>
      <c r="B233" t="s">
        <v>83</v>
      </c>
      <c r="C233" t="s">
        <v>177</v>
      </c>
      <c r="D233" t="s">
        <v>68</v>
      </c>
    </row>
    <row r="234" spans="1:4" x14ac:dyDescent="0.25">
      <c r="A234">
        <v>184</v>
      </c>
      <c r="B234" t="s">
        <v>375</v>
      </c>
      <c r="C234" t="s">
        <v>177</v>
      </c>
      <c r="D234" t="s">
        <v>68</v>
      </c>
    </row>
    <row r="235" spans="1:4" x14ac:dyDescent="0.25">
      <c r="A235">
        <v>185</v>
      </c>
      <c r="B235" t="s">
        <v>120</v>
      </c>
      <c r="C235" t="s">
        <v>177</v>
      </c>
      <c r="D235" t="s">
        <v>68</v>
      </c>
    </row>
    <row r="236" spans="1:4" x14ac:dyDescent="0.25">
      <c r="A236">
        <v>186</v>
      </c>
      <c r="B236" t="s">
        <v>84</v>
      </c>
      <c r="C236" t="s">
        <v>177</v>
      </c>
      <c r="D236" t="s">
        <v>68</v>
      </c>
    </row>
    <row r="237" spans="1:4" x14ac:dyDescent="0.25">
      <c r="A237">
        <v>187</v>
      </c>
      <c r="B237" t="s">
        <v>376</v>
      </c>
      <c r="C237" t="s">
        <v>177</v>
      </c>
      <c r="D237" t="s">
        <v>68</v>
      </c>
    </row>
    <row r="238" spans="1:4" x14ac:dyDescent="0.25">
      <c r="A238">
        <v>188</v>
      </c>
      <c r="B238" t="s">
        <v>377</v>
      </c>
      <c r="C238" t="s">
        <v>177</v>
      </c>
      <c r="D238" t="s">
        <v>68</v>
      </c>
    </row>
    <row r="239" spans="1:4" x14ac:dyDescent="0.25">
      <c r="A239">
        <v>189</v>
      </c>
      <c r="B239" t="s">
        <v>378</v>
      </c>
      <c r="C239" t="s">
        <v>177</v>
      </c>
      <c r="D239" t="s">
        <v>68</v>
      </c>
    </row>
    <row r="240" spans="1:4" x14ac:dyDescent="0.25">
      <c r="A240">
        <v>190</v>
      </c>
      <c r="B240" t="s">
        <v>328</v>
      </c>
      <c r="C240" t="s">
        <v>177</v>
      </c>
      <c r="D240" t="s">
        <v>68</v>
      </c>
    </row>
    <row r="241" spans="1:4" x14ac:dyDescent="0.25">
      <c r="A241">
        <v>191</v>
      </c>
      <c r="B241" t="s">
        <v>69</v>
      </c>
      <c r="C241" t="s">
        <v>177</v>
      </c>
      <c r="D241" t="s">
        <v>68</v>
      </c>
    </row>
    <row r="242" spans="1:4" x14ac:dyDescent="0.25">
      <c r="A242">
        <v>192</v>
      </c>
      <c r="B242" t="s">
        <v>327</v>
      </c>
      <c r="C242" t="s">
        <v>177</v>
      </c>
      <c r="D242" t="s">
        <v>68</v>
      </c>
    </row>
    <row r="243" spans="1:4" x14ac:dyDescent="0.25">
      <c r="A243">
        <v>193</v>
      </c>
      <c r="B243" t="s">
        <v>379</v>
      </c>
      <c r="C243" t="s">
        <v>177</v>
      </c>
      <c r="D243" t="s">
        <v>68</v>
      </c>
    </row>
    <row r="244" spans="1:4" x14ac:dyDescent="0.25">
      <c r="A244">
        <v>194</v>
      </c>
      <c r="B244" t="s">
        <v>88</v>
      </c>
      <c r="C244" t="s">
        <v>177</v>
      </c>
      <c r="D244" t="s">
        <v>62</v>
      </c>
    </row>
    <row r="245" spans="1:4" x14ac:dyDescent="0.25">
      <c r="A245">
        <v>195</v>
      </c>
      <c r="B245" t="s">
        <v>380</v>
      </c>
      <c r="C245" t="s">
        <v>177</v>
      </c>
      <c r="D245" t="s">
        <v>62</v>
      </c>
    </row>
    <row r="246" spans="1:4" x14ac:dyDescent="0.25">
      <c r="A246">
        <v>196</v>
      </c>
      <c r="B246" t="s">
        <v>381</v>
      </c>
      <c r="C246" t="s">
        <v>177</v>
      </c>
      <c r="D246" t="s">
        <v>62</v>
      </c>
    </row>
    <row r="247" spans="1:4" x14ac:dyDescent="0.25">
      <c r="A247">
        <v>197</v>
      </c>
      <c r="B247" t="s">
        <v>94</v>
      </c>
      <c r="C247" t="s">
        <v>177</v>
      </c>
      <c r="D247" t="s">
        <v>62</v>
      </c>
    </row>
    <row r="248" spans="1:4" x14ac:dyDescent="0.25">
      <c r="A248">
        <v>198</v>
      </c>
      <c r="B248" t="s">
        <v>63</v>
      </c>
      <c r="C248" t="s">
        <v>177</v>
      </c>
      <c r="D248" t="s">
        <v>62</v>
      </c>
    </row>
    <row r="249" spans="1:4" x14ac:dyDescent="0.25">
      <c r="A249">
        <v>199</v>
      </c>
      <c r="B249" t="s">
        <v>79</v>
      </c>
      <c r="C249" t="s">
        <v>177</v>
      </c>
      <c r="D249" t="s">
        <v>68</v>
      </c>
    </row>
    <row r="250" spans="1:4" x14ac:dyDescent="0.25">
      <c r="A250">
        <v>200</v>
      </c>
      <c r="B250" t="s">
        <v>382</v>
      </c>
      <c r="C250" t="s">
        <v>177</v>
      </c>
      <c r="D250" t="s">
        <v>68</v>
      </c>
    </row>
    <row r="251" spans="1:4" x14ac:dyDescent="0.25">
      <c r="A251">
        <v>201</v>
      </c>
      <c r="B251" t="s">
        <v>81</v>
      </c>
      <c r="C251" t="s">
        <v>177</v>
      </c>
      <c r="D251" t="s">
        <v>68</v>
      </c>
    </row>
    <row r="252" spans="1:4" x14ac:dyDescent="0.25">
      <c r="A252">
        <v>202</v>
      </c>
      <c r="B252" t="s">
        <v>383</v>
      </c>
      <c r="C252" t="s">
        <v>177</v>
      </c>
      <c r="D252" t="s">
        <v>68</v>
      </c>
    </row>
    <row r="253" spans="1:4" x14ac:dyDescent="0.25">
      <c r="A253">
        <v>203</v>
      </c>
      <c r="B253" t="s">
        <v>384</v>
      </c>
      <c r="C253" t="s">
        <v>255</v>
      </c>
      <c r="D253" t="s">
        <v>340</v>
      </c>
    </row>
    <row r="254" spans="1:4" x14ac:dyDescent="0.25">
      <c r="A254">
        <v>204</v>
      </c>
      <c r="B254" t="s">
        <v>99</v>
      </c>
      <c r="C254" t="s">
        <v>255</v>
      </c>
      <c r="D254" t="s">
        <v>340</v>
      </c>
    </row>
    <row r="255" spans="1:4" x14ac:dyDescent="0.25">
      <c r="A255">
        <v>205</v>
      </c>
      <c r="B255" t="s">
        <v>356</v>
      </c>
      <c r="C255" t="s">
        <v>255</v>
      </c>
      <c r="D255" t="s">
        <v>340</v>
      </c>
    </row>
    <row r="256" spans="1:4" x14ac:dyDescent="0.25">
      <c r="A256">
        <v>206</v>
      </c>
      <c r="B256" t="s">
        <v>385</v>
      </c>
      <c r="C256" t="s">
        <v>255</v>
      </c>
      <c r="D256" t="s">
        <v>340</v>
      </c>
    </row>
    <row r="257" spans="1:4" x14ac:dyDescent="0.25">
      <c r="A257">
        <v>207</v>
      </c>
      <c r="B257" t="s">
        <v>386</v>
      </c>
      <c r="C257" t="s">
        <v>255</v>
      </c>
      <c r="D257" t="s">
        <v>340</v>
      </c>
    </row>
    <row r="258" spans="1:4" x14ac:dyDescent="0.25">
      <c r="A258">
        <v>208</v>
      </c>
      <c r="B258" t="s">
        <v>387</v>
      </c>
      <c r="C258" t="s">
        <v>255</v>
      </c>
      <c r="D258" t="s">
        <v>340</v>
      </c>
    </row>
    <row r="259" spans="1:4" x14ac:dyDescent="0.25">
      <c r="A259">
        <v>209</v>
      </c>
      <c r="B259" t="s">
        <v>94</v>
      </c>
      <c r="C259" t="s">
        <v>255</v>
      </c>
      <c r="D259" t="s">
        <v>340</v>
      </c>
    </row>
    <row r="260" spans="1:4" x14ac:dyDescent="0.25">
      <c r="A260">
        <v>210</v>
      </c>
      <c r="B260" t="s">
        <v>388</v>
      </c>
      <c r="C260" t="s">
        <v>255</v>
      </c>
      <c r="D260" t="s">
        <v>340</v>
      </c>
    </row>
    <row r="261" spans="1:4" x14ac:dyDescent="0.25">
      <c r="A261">
        <v>211</v>
      </c>
      <c r="B261" t="s">
        <v>319</v>
      </c>
      <c r="C261" t="s">
        <v>255</v>
      </c>
      <c r="D261" t="s">
        <v>340</v>
      </c>
    </row>
    <row r="262" spans="1:4" x14ac:dyDescent="0.25">
      <c r="A262">
        <v>212</v>
      </c>
      <c r="B262" t="s">
        <v>389</v>
      </c>
      <c r="C262" t="s">
        <v>255</v>
      </c>
      <c r="D262" t="s">
        <v>96</v>
      </c>
    </row>
    <row r="263" spans="1:4" x14ac:dyDescent="0.25">
      <c r="A263">
        <v>213</v>
      </c>
      <c r="B263" t="s">
        <v>390</v>
      </c>
      <c r="C263" t="s">
        <v>255</v>
      </c>
      <c r="D263" t="s">
        <v>96</v>
      </c>
    </row>
    <row r="264" spans="1:4" x14ac:dyDescent="0.25">
      <c r="A264">
        <v>214</v>
      </c>
      <c r="B264" t="s">
        <v>391</v>
      </c>
      <c r="C264" t="s">
        <v>255</v>
      </c>
      <c r="D264" t="s">
        <v>96</v>
      </c>
    </row>
    <row r="265" spans="1:4" x14ac:dyDescent="0.25">
      <c r="A265">
        <v>215</v>
      </c>
      <c r="B265" t="s">
        <v>392</v>
      </c>
      <c r="C265" t="s">
        <v>255</v>
      </c>
      <c r="D265" t="s">
        <v>393</v>
      </c>
    </row>
    <row r="266" spans="1:4" x14ac:dyDescent="0.25">
      <c r="A266">
        <v>216</v>
      </c>
      <c r="B266" t="s">
        <v>394</v>
      </c>
      <c r="C266" t="s">
        <v>255</v>
      </c>
      <c r="D266" t="s">
        <v>393</v>
      </c>
    </row>
    <row r="267" spans="1:4" x14ac:dyDescent="0.25">
      <c r="A267">
        <v>217</v>
      </c>
      <c r="B267" t="s">
        <v>395</v>
      </c>
      <c r="C267" t="s">
        <v>255</v>
      </c>
      <c r="D267" t="s">
        <v>393</v>
      </c>
    </row>
    <row r="268" spans="1:4" x14ac:dyDescent="0.25">
      <c r="A268">
        <v>218</v>
      </c>
      <c r="B268" t="s">
        <v>396</v>
      </c>
      <c r="C268" t="s">
        <v>255</v>
      </c>
      <c r="D268" t="s">
        <v>393</v>
      </c>
    </row>
    <row r="269" spans="1:4" x14ac:dyDescent="0.25">
      <c r="A269">
        <v>219</v>
      </c>
      <c r="B269" t="s">
        <v>397</v>
      </c>
      <c r="C269" t="s">
        <v>255</v>
      </c>
      <c r="D269" t="s">
        <v>393</v>
      </c>
    </row>
    <row r="270" spans="1:4" x14ac:dyDescent="0.25">
      <c r="A270">
        <v>220</v>
      </c>
      <c r="B270" t="s">
        <v>398</v>
      </c>
      <c r="C270" t="s">
        <v>255</v>
      </c>
      <c r="D270" t="s">
        <v>393</v>
      </c>
    </row>
    <row r="271" spans="1:4" x14ac:dyDescent="0.25">
      <c r="A271">
        <v>221</v>
      </c>
      <c r="B271" t="s">
        <v>399</v>
      </c>
      <c r="C271" t="s">
        <v>255</v>
      </c>
      <c r="D271" t="s">
        <v>393</v>
      </c>
    </row>
    <row r="272" spans="1:4" x14ac:dyDescent="0.25">
      <c r="A272">
        <v>222</v>
      </c>
      <c r="B272" t="s">
        <v>400</v>
      </c>
      <c r="C272" t="s">
        <v>255</v>
      </c>
      <c r="D272" t="s">
        <v>393</v>
      </c>
    </row>
    <row r="273" spans="1:4" x14ac:dyDescent="0.25">
      <c r="A273">
        <v>223</v>
      </c>
      <c r="B273" t="s">
        <v>401</v>
      </c>
      <c r="C273" t="s">
        <v>255</v>
      </c>
      <c r="D273" t="s">
        <v>393</v>
      </c>
    </row>
    <row r="274" spans="1:4" x14ac:dyDescent="0.25">
      <c r="A274">
        <v>224</v>
      </c>
      <c r="B274" t="s">
        <v>402</v>
      </c>
      <c r="C274" t="s">
        <v>255</v>
      </c>
      <c r="D274" t="s">
        <v>393</v>
      </c>
    </row>
    <row r="275" spans="1:4" x14ac:dyDescent="0.25">
      <c r="A275">
        <v>225</v>
      </c>
      <c r="B275" t="s">
        <v>403</v>
      </c>
      <c r="C275" t="s">
        <v>255</v>
      </c>
      <c r="D275" t="s">
        <v>393</v>
      </c>
    </row>
    <row r="276" spans="1:4" x14ac:dyDescent="0.25">
      <c r="A276">
        <v>226</v>
      </c>
      <c r="B276" t="s">
        <v>404</v>
      </c>
      <c r="C276" t="s">
        <v>255</v>
      </c>
      <c r="D276" t="s">
        <v>393</v>
      </c>
    </row>
    <row r="277" spans="1:4" x14ac:dyDescent="0.25">
      <c r="A277">
        <v>227</v>
      </c>
      <c r="B277" t="s">
        <v>405</v>
      </c>
      <c r="C277" t="s">
        <v>255</v>
      </c>
      <c r="D277" t="s">
        <v>393</v>
      </c>
    </row>
    <row r="278" spans="1:4" x14ac:dyDescent="0.25">
      <c r="A278">
        <v>228</v>
      </c>
      <c r="B278" t="s">
        <v>406</v>
      </c>
      <c r="C278" t="s">
        <v>255</v>
      </c>
      <c r="D278" t="s">
        <v>393</v>
      </c>
    </row>
    <row r="279" spans="1:4" x14ac:dyDescent="0.25">
      <c r="A279">
        <v>229</v>
      </c>
      <c r="B279" t="s">
        <v>407</v>
      </c>
      <c r="C279" t="s">
        <v>255</v>
      </c>
      <c r="D279" t="s">
        <v>393</v>
      </c>
    </row>
    <row r="280" spans="1:4" x14ac:dyDescent="0.25">
      <c r="A280">
        <v>230</v>
      </c>
      <c r="B280" t="s">
        <v>112</v>
      </c>
      <c r="C280" t="s">
        <v>255</v>
      </c>
      <c r="D280" t="s">
        <v>393</v>
      </c>
    </row>
    <row r="281" spans="1:4" x14ac:dyDescent="0.25">
      <c r="A281">
        <v>231</v>
      </c>
      <c r="B281" t="s">
        <v>408</v>
      </c>
      <c r="C281" t="s">
        <v>255</v>
      </c>
      <c r="D281" t="s">
        <v>393</v>
      </c>
    </row>
    <row r="282" spans="1:4" x14ac:dyDescent="0.25">
      <c r="A282">
        <v>232</v>
      </c>
      <c r="B282" t="s">
        <v>409</v>
      </c>
      <c r="C282" t="s">
        <v>255</v>
      </c>
      <c r="D282" t="s">
        <v>393</v>
      </c>
    </row>
    <row r="283" spans="1:4" x14ac:dyDescent="0.25">
      <c r="A283">
        <v>233</v>
      </c>
      <c r="B283" t="s">
        <v>353</v>
      </c>
      <c r="C283" t="s">
        <v>255</v>
      </c>
      <c r="D283" t="s">
        <v>393</v>
      </c>
    </row>
    <row r="284" spans="1:4" x14ac:dyDescent="0.25">
      <c r="A284">
        <v>234</v>
      </c>
      <c r="B284" t="s">
        <v>410</v>
      </c>
      <c r="C284" t="s">
        <v>255</v>
      </c>
      <c r="D284" t="s">
        <v>393</v>
      </c>
    </row>
    <row r="285" spans="1:4" x14ac:dyDescent="0.25">
      <c r="A285">
        <v>235</v>
      </c>
      <c r="B285" t="s">
        <v>411</v>
      </c>
      <c r="C285" t="s">
        <v>257</v>
      </c>
      <c r="D285" t="s">
        <v>68</v>
      </c>
    </row>
    <row r="286" spans="1:4" x14ac:dyDescent="0.25">
      <c r="A286">
        <v>236</v>
      </c>
      <c r="B286" t="s">
        <v>412</v>
      </c>
      <c r="C286" t="s">
        <v>257</v>
      </c>
      <c r="D286" t="s">
        <v>68</v>
      </c>
    </row>
    <row r="287" spans="1:4" x14ac:dyDescent="0.25">
      <c r="A287">
        <v>237</v>
      </c>
      <c r="B287" t="s">
        <v>413</v>
      </c>
      <c r="C287" t="s">
        <v>257</v>
      </c>
      <c r="D287" t="s">
        <v>68</v>
      </c>
    </row>
    <row r="288" spans="1:4" x14ac:dyDescent="0.25">
      <c r="A288">
        <v>238</v>
      </c>
      <c r="B288" t="s">
        <v>414</v>
      </c>
      <c r="C288" t="s">
        <v>257</v>
      </c>
      <c r="D288" t="s">
        <v>68</v>
      </c>
    </row>
    <row r="289" spans="1:4" x14ac:dyDescent="0.25">
      <c r="A289">
        <v>239</v>
      </c>
      <c r="B289" t="s">
        <v>415</v>
      </c>
      <c r="C289" t="s">
        <v>257</v>
      </c>
      <c r="D289" t="s">
        <v>68</v>
      </c>
    </row>
    <row r="290" spans="1:4" x14ac:dyDescent="0.25">
      <c r="A290">
        <v>240</v>
      </c>
      <c r="B290" t="s">
        <v>416</v>
      </c>
      <c r="C290" t="s">
        <v>257</v>
      </c>
      <c r="D290" t="s">
        <v>68</v>
      </c>
    </row>
    <row r="291" spans="1:4" x14ac:dyDescent="0.25">
      <c r="A291">
        <v>241</v>
      </c>
      <c r="B291" t="s">
        <v>417</v>
      </c>
      <c r="C291" t="s">
        <v>257</v>
      </c>
      <c r="D291" t="s">
        <v>68</v>
      </c>
    </row>
    <row r="292" spans="1:4" x14ac:dyDescent="0.25">
      <c r="A292">
        <v>242</v>
      </c>
      <c r="B292" t="s">
        <v>418</v>
      </c>
      <c r="C292" t="s">
        <v>257</v>
      </c>
      <c r="D292" t="s">
        <v>68</v>
      </c>
    </row>
    <row r="293" spans="1:4" x14ac:dyDescent="0.25">
      <c r="A293">
        <v>243</v>
      </c>
      <c r="B293" t="s">
        <v>419</v>
      </c>
      <c r="C293" t="s">
        <v>257</v>
      </c>
      <c r="D293" t="s">
        <v>68</v>
      </c>
    </row>
    <row r="294" spans="1:4" x14ac:dyDescent="0.25">
      <c r="A294">
        <v>244</v>
      </c>
      <c r="B294" t="s">
        <v>420</v>
      </c>
      <c r="C294" t="s">
        <v>257</v>
      </c>
      <c r="D294" t="s">
        <v>68</v>
      </c>
    </row>
    <row r="295" spans="1:4" x14ac:dyDescent="0.25">
      <c r="A295">
        <v>245</v>
      </c>
      <c r="B295" t="s">
        <v>378</v>
      </c>
      <c r="C295" t="s">
        <v>257</v>
      </c>
      <c r="D295" t="s">
        <v>68</v>
      </c>
    </row>
    <row r="296" spans="1:4" x14ac:dyDescent="0.25">
      <c r="A296">
        <v>246</v>
      </c>
      <c r="B296" t="s">
        <v>421</v>
      </c>
      <c r="C296" t="s">
        <v>257</v>
      </c>
      <c r="D296" t="s">
        <v>68</v>
      </c>
    </row>
    <row r="297" spans="1:4" x14ac:dyDescent="0.25">
      <c r="A297">
        <v>247</v>
      </c>
      <c r="B297" t="s">
        <v>422</v>
      </c>
      <c r="C297" t="s">
        <v>257</v>
      </c>
      <c r="D297" t="s">
        <v>68</v>
      </c>
    </row>
    <row r="298" spans="1:4" x14ac:dyDescent="0.25">
      <c r="A298">
        <v>248</v>
      </c>
      <c r="B298" t="s">
        <v>423</v>
      </c>
      <c r="C298" t="s">
        <v>257</v>
      </c>
      <c r="D298" t="s">
        <v>68</v>
      </c>
    </row>
    <row r="299" spans="1:4" x14ac:dyDescent="0.25">
      <c r="A299">
        <v>249</v>
      </c>
      <c r="B299" t="s">
        <v>424</v>
      </c>
      <c r="C299" t="s">
        <v>257</v>
      </c>
      <c r="D299" t="s">
        <v>68</v>
      </c>
    </row>
    <row r="300" spans="1:4" x14ac:dyDescent="0.25">
      <c r="A300">
        <v>250</v>
      </c>
      <c r="B300" t="s">
        <v>425</v>
      </c>
      <c r="C300" t="s">
        <v>257</v>
      </c>
      <c r="D300" t="s">
        <v>68</v>
      </c>
    </row>
    <row r="301" spans="1:4" x14ac:dyDescent="0.25">
      <c r="A301">
        <v>251</v>
      </c>
      <c r="B301" t="s">
        <v>426</v>
      </c>
      <c r="C301" t="s">
        <v>257</v>
      </c>
      <c r="D301" t="s">
        <v>68</v>
      </c>
    </row>
    <row r="302" spans="1:4" x14ac:dyDescent="0.25">
      <c r="A302">
        <v>252</v>
      </c>
      <c r="B302" t="s">
        <v>427</v>
      </c>
      <c r="C302" t="s">
        <v>257</v>
      </c>
      <c r="D302" t="s">
        <v>68</v>
      </c>
    </row>
    <row r="303" spans="1:4" x14ac:dyDescent="0.25">
      <c r="A303">
        <v>253</v>
      </c>
      <c r="B303" t="s">
        <v>428</v>
      </c>
      <c r="C303" t="s">
        <v>257</v>
      </c>
      <c r="D303" t="s">
        <v>68</v>
      </c>
    </row>
    <row r="304" spans="1:4" x14ac:dyDescent="0.25">
      <c r="A304">
        <v>254</v>
      </c>
      <c r="B304" t="s">
        <v>429</v>
      </c>
      <c r="C304" t="s">
        <v>257</v>
      </c>
      <c r="D304" t="s">
        <v>68</v>
      </c>
    </row>
    <row r="305" spans="1:4" x14ac:dyDescent="0.25">
      <c r="A305">
        <v>255</v>
      </c>
      <c r="B305" t="s">
        <v>430</v>
      </c>
      <c r="C305" t="s">
        <v>257</v>
      </c>
      <c r="D305" t="s">
        <v>68</v>
      </c>
    </row>
    <row r="306" spans="1:4" x14ac:dyDescent="0.25">
      <c r="A306">
        <v>256</v>
      </c>
      <c r="B306" t="s">
        <v>431</v>
      </c>
      <c r="C306" t="s">
        <v>257</v>
      </c>
      <c r="D306" t="s">
        <v>68</v>
      </c>
    </row>
    <row r="307" spans="1:4" x14ac:dyDescent="0.25">
      <c r="A307">
        <v>257</v>
      </c>
      <c r="B307" t="s">
        <v>432</v>
      </c>
      <c r="C307" t="s">
        <v>257</v>
      </c>
      <c r="D307" t="s">
        <v>68</v>
      </c>
    </row>
    <row r="308" spans="1:4" x14ac:dyDescent="0.25">
      <c r="A308">
        <v>258</v>
      </c>
      <c r="B308" t="s">
        <v>433</v>
      </c>
      <c r="C308" t="s">
        <v>257</v>
      </c>
      <c r="D308" t="s">
        <v>68</v>
      </c>
    </row>
    <row r="309" spans="1:4" x14ac:dyDescent="0.25">
      <c r="A309">
        <v>259</v>
      </c>
      <c r="B309" t="s">
        <v>434</v>
      </c>
      <c r="C309" t="s">
        <v>257</v>
      </c>
    </row>
    <row r="310" spans="1:4" x14ac:dyDescent="0.25">
      <c r="A310">
        <v>260</v>
      </c>
      <c r="B310" t="s">
        <v>435</v>
      </c>
      <c r="C310" t="s">
        <v>257</v>
      </c>
    </row>
    <row r="311" spans="1:4" x14ac:dyDescent="0.25">
      <c r="A311">
        <v>261</v>
      </c>
      <c r="B311" t="s">
        <v>436</v>
      </c>
      <c r="C311" t="s">
        <v>257</v>
      </c>
    </row>
    <row r="312" spans="1:4" x14ac:dyDescent="0.25">
      <c r="A312">
        <v>262</v>
      </c>
      <c r="B312" t="s">
        <v>437</v>
      </c>
      <c r="C312" t="s">
        <v>257</v>
      </c>
    </row>
    <row r="313" spans="1:4" x14ac:dyDescent="0.25">
      <c r="A313">
        <v>263</v>
      </c>
      <c r="B313" t="s">
        <v>438</v>
      </c>
      <c r="C313" t="s">
        <v>257</v>
      </c>
    </row>
    <row r="314" spans="1:4" x14ac:dyDescent="0.25">
      <c r="A314">
        <v>264</v>
      </c>
      <c r="B314" t="s">
        <v>439</v>
      </c>
      <c r="C314" t="s">
        <v>257</v>
      </c>
    </row>
    <row r="315" spans="1:4" x14ac:dyDescent="0.25">
      <c r="A315">
        <v>265</v>
      </c>
      <c r="B315" t="s">
        <v>392</v>
      </c>
      <c r="C315" t="s">
        <v>257</v>
      </c>
      <c r="D315" t="s">
        <v>440</v>
      </c>
    </row>
    <row r="316" spans="1:4" x14ac:dyDescent="0.25">
      <c r="A316">
        <v>266</v>
      </c>
      <c r="B316" t="s">
        <v>113</v>
      </c>
      <c r="C316" t="s">
        <v>257</v>
      </c>
      <c r="D316" t="s">
        <v>440</v>
      </c>
    </row>
    <row r="317" spans="1:4" x14ac:dyDescent="0.25">
      <c r="A317">
        <v>267</v>
      </c>
      <c r="B317" t="s">
        <v>441</v>
      </c>
      <c r="C317" t="s">
        <v>257</v>
      </c>
      <c r="D317" t="s">
        <v>440</v>
      </c>
    </row>
    <row r="318" spans="1:4" x14ac:dyDescent="0.25">
      <c r="A318">
        <v>268</v>
      </c>
      <c r="B318" t="s">
        <v>442</v>
      </c>
      <c r="C318" t="s">
        <v>257</v>
      </c>
      <c r="D318" t="s">
        <v>440</v>
      </c>
    </row>
    <row r="319" spans="1:4" x14ac:dyDescent="0.25">
      <c r="A319">
        <v>269</v>
      </c>
      <c r="B319" t="s">
        <v>443</v>
      </c>
      <c r="C319" t="s">
        <v>257</v>
      </c>
      <c r="D319" t="s">
        <v>440</v>
      </c>
    </row>
    <row r="320" spans="1:4" x14ac:dyDescent="0.25">
      <c r="A320">
        <v>270</v>
      </c>
      <c r="B320" t="s">
        <v>444</v>
      </c>
      <c r="C320" t="s">
        <v>257</v>
      </c>
      <c r="D320" t="s">
        <v>440</v>
      </c>
    </row>
    <row r="321" spans="1:4" x14ac:dyDescent="0.25">
      <c r="A321">
        <v>271</v>
      </c>
      <c r="B321" t="s">
        <v>335</v>
      </c>
      <c r="C321" t="s">
        <v>257</v>
      </c>
      <c r="D321" t="s">
        <v>440</v>
      </c>
    </row>
    <row r="322" spans="1:4" x14ac:dyDescent="0.25">
      <c r="A322">
        <v>272</v>
      </c>
      <c r="B322" t="s">
        <v>376</v>
      </c>
      <c r="C322" t="s">
        <v>257</v>
      </c>
      <c r="D322" t="s">
        <v>440</v>
      </c>
    </row>
    <row r="323" spans="1:4" x14ac:dyDescent="0.25">
      <c r="A323">
        <v>273</v>
      </c>
      <c r="B323" t="s">
        <v>445</v>
      </c>
      <c r="C323" t="s">
        <v>257</v>
      </c>
      <c r="D323" t="s">
        <v>440</v>
      </c>
    </row>
    <row r="324" spans="1:4" x14ac:dyDescent="0.25">
      <c r="A324">
        <v>274</v>
      </c>
      <c r="B324" t="s">
        <v>446</v>
      </c>
      <c r="C324" t="s">
        <v>257</v>
      </c>
      <c r="D324" t="s">
        <v>440</v>
      </c>
    </row>
    <row r="325" spans="1:4" x14ac:dyDescent="0.25">
      <c r="A325">
        <v>275</v>
      </c>
      <c r="B325" t="s">
        <v>336</v>
      </c>
      <c r="C325" t="s">
        <v>257</v>
      </c>
      <c r="D325" t="s">
        <v>440</v>
      </c>
    </row>
    <row r="326" spans="1:4" x14ac:dyDescent="0.25">
      <c r="A326">
        <v>276</v>
      </c>
      <c r="B326" t="s">
        <v>447</v>
      </c>
      <c r="C326" t="s">
        <v>257</v>
      </c>
      <c r="D326" t="s">
        <v>440</v>
      </c>
    </row>
    <row r="327" spans="1:4" x14ac:dyDescent="0.25">
      <c r="A327">
        <v>277</v>
      </c>
      <c r="B327" t="s">
        <v>343</v>
      </c>
      <c r="C327" t="s">
        <v>257</v>
      </c>
      <c r="D327" t="s">
        <v>258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4"/>
  <sheetViews>
    <sheetView workbookViewId="0">
      <selection activeCell="P31" sqref="P31"/>
    </sheetView>
  </sheetViews>
  <sheetFormatPr defaultRowHeight="15" x14ac:dyDescent="0.25"/>
  <cols>
    <col min="1" max="1" width="5.140625" bestFit="1" customWidth="1"/>
    <col min="2" max="3" width="12.85546875" bestFit="1" customWidth="1"/>
  </cols>
  <sheetData>
    <row r="1" spans="1:2" x14ac:dyDescent="0.25">
      <c r="A1" t="s">
        <v>52</v>
      </c>
      <c r="B1" t="s">
        <v>125</v>
      </c>
    </row>
    <row r="2" spans="1:2" x14ac:dyDescent="0.25">
      <c r="A2">
        <v>25</v>
      </c>
      <c r="B2" t="s">
        <v>448</v>
      </c>
    </row>
    <row r="3" spans="1:2" x14ac:dyDescent="0.25">
      <c r="A3">
        <v>26</v>
      </c>
      <c r="B3" t="s">
        <v>449</v>
      </c>
    </row>
    <row r="4" spans="1:2" x14ac:dyDescent="0.25">
      <c r="A4">
        <v>27</v>
      </c>
      <c r="B4" t="s">
        <v>450</v>
      </c>
    </row>
    <row r="5" spans="1:2" x14ac:dyDescent="0.25">
      <c r="A5">
        <v>28</v>
      </c>
      <c r="B5" t="s">
        <v>451</v>
      </c>
    </row>
    <row r="6" spans="1:2" x14ac:dyDescent="0.25">
      <c r="A6">
        <v>29</v>
      </c>
      <c r="B6" t="s">
        <v>452</v>
      </c>
    </row>
    <row r="7" spans="1:2" x14ac:dyDescent="0.25">
      <c r="A7">
        <v>30</v>
      </c>
      <c r="B7" t="s">
        <v>453</v>
      </c>
    </row>
    <row r="8" spans="1:2" x14ac:dyDescent="0.25">
      <c r="A8">
        <v>31</v>
      </c>
      <c r="B8" t="s">
        <v>454</v>
      </c>
    </row>
    <row r="9" spans="1:2" x14ac:dyDescent="0.25">
      <c r="A9">
        <v>32</v>
      </c>
      <c r="B9" t="s">
        <v>455</v>
      </c>
    </row>
    <row r="10" spans="1:2" x14ac:dyDescent="0.25">
      <c r="A10">
        <v>33</v>
      </c>
      <c r="B10" t="s">
        <v>456</v>
      </c>
    </row>
    <row r="11" spans="1:2" x14ac:dyDescent="0.25">
      <c r="A11">
        <v>34</v>
      </c>
      <c r="B11" t="s">
        <v>457</v>
      </c>
    </row>
    <row r="12" spans="1:2" x14ac:dyDescent="0.25">
      <c r="A12">
        <v>2</v>
      </c>
      <c r="B12" t="s">
        <v>126</v>
      </c>
    </row>
    <row r="13" spans="1:2" x14ac:dyDescent="0.25">
      <c r="A13">
        <v>3</v>
      </c>
      <c r="B13" t="s">
        <v>127</v>
      </c>
    </row>
    <row r="14" spans="1:2" x14ac:dyDescent="0.25">
      <c r="A14">
        <v>4</v>
      </c>
      <c r="B14" t="s">
        <v>128</v>
      </c>
    </row>
    <row r="15" spans="1:2" x14ac:dyDescent="0.25">
      <c r="A15">
        <v>5</v>
      </c>
      <c r="B15" t="s">
        <v>129</v>
      </c>
    </row>
    <row r="16" spans="1:2" x14ac:dyDescent="0.25">
      <c r="A16">
        <v>6</v>
      </c>
      <c r="B16" t="s">
        <v>130</v>
      </c>
    </row>
    <row r="17" spans="1:2" x14ac:dyDescent="0.25">
      <c r="A17">
        <v>7</v>
      </c>
      <c r="B17" t="s">
        <v>131</v>
      </c>
    </row>
    <row r="18" spans="1:2" x14ac:dyDescent="0.25">
      <c r="A18">
        <v>8</v>
      </c>
      <c r="B18" t="s">
        <v>132</v>
      </c>
    </row>
    <row r="19" spans="1:2" x14ac:dyDescent="0.25">
      <c r="A19">
        <v>9</v>
      </c>
      <c r="B19" t="s">
        <v>133</v>
      </c>
    </row>
    <row r="20" spans="1:2" x14ac:dyDescent="0.25">
      <c r="A20">
        <v>10</v>
      </c>
      <c r="B20" t="s">
        <v>134</v>
      </c>
    </row>
    <row r="21" spans="1:2" x14ac:dyDescent="0.25">
      <c r="A21">
        <v>11</v>
      </c>
      <c r="B21" t="s">
        <v>135</v>
      </c>
    </row>
    <row r="22" spans="1:2" x14ac:dyDescent="0.25">
      <c r="A22">
        <v>12</v>
      </c>
      <c r="B22" t="s">
        <v>136</v>
      </c>
    </row>
    <row r="23" spans="1:2" x14ac:dyDescent="0.25">
      <c r="A23">
        <v>13</v>
      </c>
      <c r="B23" t="s">
        <v>137</v>
      </c>
    </row>
    <row r="24" spans="1:2" x14ac:dyDescent="0.25">
      <c r="A24">
        <v>14</v>
      </c>
      <c r="B24" t="s">
        <v>138</v>
      </c>
    </row>
    <row r="25" spans="1:2" x14ac:dyDescent="0.25">
      <c r="A25">
        <v>15</v>
      </c>
      <c r="B25" t="s">
        <v>139</v>
      </c>
    </row>
    <row r="26" spans="1:2" x14ac:dyDescent="0.25">
      <c r="A26">
        <v>16</v>
      </c>
      <c r="B26" t="s">
        <v>140</v>
      </c>
    </row>
    <row r="27" spans="1:2" x14ac:dyDescent="0.25">
      <c r="A27">
        <v>17</v>
      </c>
      <c r="B27" t="s">
        <v>141</v>
      </c>
    </row>
    <row r="28" spans="1:2" x14ac:dyDescent="0.25">
      <c r="A28">
        <v>18</v>
      </c>
      <c r="B28" t="s">
        <v>458</v>
      </c>
    </row>
    <row r="29" spans="1:2" x14ac:dyDescent="0.25">
      <c r="A29">
        <v>19</v>
      </c>
      <c r="B29" t="s">
        <v>142</v>
      </c>
    </row>
    <row r="30" spans="1:2" x14ac:dyDescent="0.25">
      <c r="A30">
        <v>20</v>
      </c>
      <c r="B30" t="s">
        <v>143</v>
      </c>
    </row>
    <row r="31" spans="1:2" x14ac:dyDescent="0.25">
      <c r="A31">
        <v>21</v>
      </c>
      <c r="B31" t="s">
        <v>459</v>
      </c>
    </row>
    <row r="32" spans="1:2" x14ac:dyDescent="0.25">
      <c r="A32">
        <v>22</v>
      </c>
      <c r="B32" t="s">
        <v>460</v>
      </c>
    </row>
    <row r="33" spans="1:2" x14ac:dyDescent="0.25">
      <c r="A33">
        <v>23</v>
      </c>
      <c r="B33" t="s">
        <v>461</v>
      </c>
    </row>
    <row r="34" spans="1:2" x14ac:dyDescent="0.25">
      <c r="A34">
        <v>24</v>
      </c>
      <c r="B34" t="s">
        <v>462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
  <sheetViews>
    <sheetView workbookViewId="0">
      <selection activeCell="K14" sqref="K14"/>
    </sheetView>
  </sheetViews>
  <sheetFormatPr defaultRowHeight="15" x14ac:dyDescent="0.25"/>
  <cols>
    <col min="1" max="1" width="14.85546875" bestFit="1" customWidth="1"/>
    <col min="2" max="2" width="17.28515625" bestFit="1" customWidth="1"/>
    <col min="3" max="3" width="10.85546875" bestFit="1" customWidth="1"/>
    <col min="4" max="4" width="15.7109375" bestFit="1" customWidth="1"/>
    <col min="5" max="5" width="10.85546875" bestFit="1" customWidth="1"/>
    <col min="6" max="6" width="9.85546875" bestFit="1" customWidth="1"/>
    <col min="7" max="7" width="45.140625" bestFit="1" customWidth="1"/>
    <col min="8" max="8" width="12.28515625" bestFit="1" customWidth="1"/>
    <col min="9" max="9" width="12.5703125" bestFit="1" customWidth="1"/>
    <col min="10" max="10" width="7.7109375" bestFit="1" customWidth="1"/>
    <col min="11" max="11" width="6.5703125" bestFit="1" customWidth="1"/>
    <col min="12" max="12" width="6.85546875" bestFit="1" customWidth="1"/>
    <col min="13" max="13" width="13.28515625" bestFit="1" customWidth="1"/>
    <col min="14" max="14" width="8.85546875" bestFit="1" customWidth="1"/>
    <col min="15" max="15" width="18.5703125" bestFit="1" customWidth="1"/>
    <col min="16" max="16" width="15.42578125" bestFit="1" customWidth="1"/>
    <col min="17" max="17" width="14.42578125" bestFit="1" customWidth="1"/>
    <col min="18" max="18" width="17.85546875" bestFit="1" customWidth="1"/>
    <col min="19" max="19" width="9.42578125" bestFit="1" customWidth="1"/>
    <col min="20" max="20" width="9.85546875" bestFit="1" customWidth="1"/>
    <col min="21" max="21" width="8.7109375" bestFit="1" customWidth="1"/>
    <col min="22" max="22" width="18.42578125" bestFit="1" customWidth="1"/>
    <col min="23" max="23" width="8" bestFit="1" customWidth="1"/>
  </cols>
  <sheetData>
    <row r="1" spans="1:23" x14ac:dyDescent="0.25">
      <c r="A1" t="s">
        <v>463</v>
      </c>
      <c r="B1" t="s">
        <v>464</v>
      </c>
      <c r="C1" t="s">
        <v>465</v>
      </c>
      <c r="D1" t="s">
        <v>466</v>
      </c>
      <c r="E1" t="s">
        <v>60</v>
      </c>
      <c r="F1" t="s">
        <v>14</v>
      </c>
      <c r="G1" t="s">
        <v>22</v>
      </c>
      <c r="H1" t="s">
        <v>15</v>
      </c>
      <c r="I1" t="s">
        <v>467</v>
      </c>
      <c r="J1" t="s">
        <v>468</v>
      </c>
      <c r="K1" t="s">
        <v>469</v>
      </c>
      <c r="L1" t="s">
        <v>470</v>
      </c>
      <c r="M1" t="s">
        <v>471</v>
      </c>
      <c r="N1" t="s">
        <v>472</v>
      </c>
      <c r="O1" t="s">
        <v>16</v>
      </c>
      <c r="P1" t="s">
        <v>473</v>
      </c>
      <c r="Q1" t="s">
        <v>474</v>
      </c>
      <c r="R1" t="s">
        <v>475</v>
      </c>
      <c r="S1" t="s">
        <v>19</v>
      </c>
      <c r="T1" t="s">
        <v>20</v>
      </c>
      <c r="U1" t="s">
        <v>21</v>
      </c>
      <c r="V1" t="s">
        <v>476</v>
      </c>
      <c r="W1" t="s">
        <v>489</v>
      </c>
    </row>
    <row r="2" spans="1:23" x14ac:dyDescent="0.25">
      <c r="A2" t="s">
        <v>478</v>
      </c>
      <c r="B2" t="s">
        <v>479</v>
      </c>
      <c r="C2" t="s">
        <v>480</v>
      </c>
      <c r="D2">
        <v>0</v>
      </c>
      <c r="E2" t="s">
        <v>152</v>
      </c>
      <c r="F2" t="s">
        <v>126</v>
      </c>
      <c r="G2" t="s">
        <v>483</v>
      </c>
      <c r="H2" t="s">
        <v>59</v>
      </c>
      <c r="I2">
        <v>33</v>
      </c>
      <c r="J2" t="s">
        <v>482</v>
      </c>
      <c r="K2" t="s">
        <v>477</v>
      </c>
      <c r="L2" t="s">
        <v>484</v>
      </c>
      <c r="N2">
        <v>0</v>
      </c>
      <c r="O2" t="s">
        <v>65</v>
      </c>
      <c r="P2" t="s">
        <v>203</v>
      </c>
      <c r="Q2" t="s">
        <v>45</v>
      </c>
      <c r="R2" t="s">
        <v>40</v>
      </c>
      <c r="S2">
        <v>120</v>
      </c>
      <c r="T2">
        <v>48</v>
      </c>
      <c r="U2" t="s">
        <v>481</v>
      </c>
      <c r="V2" t="s">
        <v>147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177</vt:i4>
      </vt:variant>
    </vt:vector>
  </HeadingPairs>
  <TitlesOfParts>
    <vt:vector size="183" baseType="lpstr">
      <vt:lpstr>Sheet1</vt:lpstr>
      <vt:lpstr>Vendors</vt:lpstr>
      <vt:lpstr>Materials</vt:lpstr>
      <vt:lpstr>Colors</vt:lpstr>
      <vt:lpstr>Thickness</vt:lpstr>
      <vt:lpstr>Inventory</vt:lpstr>
      <vt:lpstr>ATTN</vt:lpstr>
      <vt:lpstr>CATLIST</vt:lpstr>
      <vt:lpstr>COLOR1</vt:lpstr>
      <vt:lpstr>COLOR10</vt:lpstr>
      <vt:lpstr>COLOR11</vt:lpstr>
      <vt:lpstr>COLOR2</vt:lpstr>
      <vt:lpstr>COLOR3</vt:lpstr>
      <vt:lpstr>COLOR4</vt:lpstr>
      <vt:lpstr>COLOR5</vt:lpstr>
      <vt:lpstr>COLOR6</vt:lpstr>
      <vt:lpstr>COLOR7</vt:lpstr>
      <vt:lpstr>COLOR8</vt:lpstr>
      <vt:lpstr>COLOR9</vt:lpstr>
      <vt:lpstr>DATE</vt:lpstr>
      <vt:lpstr>DATEDELIVERY</vt:lpstr>
      <vt:lpstr>DECRIPTION2</vt:lpstr>
      <vt:lpstr>DESCRIPTION1</vt:lpstr>
      <vt:lpstr>DESCRIPTION10</vt:lpstr>
      <vt:lpstr>DESCRIPTION11</vt:lpstr>
      <vt:lpstr>DESCRIPTION2</vt:lpstr>
      <vt:lpstr>DESCRIPTION3</vt:lpstr>
      <vt:lpstr>DESCRIPTION4</vt:lpstr>
      <vt:lpstr>DESCRIPTION5</vt:lpstr>
      <vt:lpstr>DESCRIPTION6</vt:lpstr>
      <vt:lpstr>DESCRIPTION7</vt:lpstr>
      <vt:lpstr>DESCRIPTION8</vt:lpstr>
      <vt:lpstr>DESCRIPTION9</vt:lpstr>
      <vt:lpstr>DesignationCombo</vt:lpstr>
      <vt:lpstr>HEIGHT1</vt:lpstr>
      <vt:lpstr>HEIGHT10</vt:lpstr>
      <vt:lpstr>HEIGHT11</vt:lpstr>
      <vt:lpstr>HEIGHT2</vt:lpstr>
      <vt:lpstr>HEIGHT3</vt:lpstr>
      <vt:lpstr>HEIGHT4</vt:lpstr>
      <vt:lpstr>HEIGHT5</vt:lpstr>
      <vt:lpstr>HEIGHT6</vt:lpstr>
      <vt:lpstr>HEIGHT7</vt:lpstr>
      <vt:lpstr>HEIGHT8</vt:lpstr>
      <vt:lpstr>HEIGHT9</vt:lpstr>
      <vt:lpstr>LEGAL</vt:lpstr>
      <vt:lpstr>LOGO</vt:lpstr>
      <vt:lpstr>MATER1</vt:lpstr>
      <vt:lpstr>MATER10</vt:lpstr>
      <vt:lpstr>MATER11</vt:lpstr>
      <vt:lpstr>MATER2</vt:lpstr>
      <vt:lpstr>MATER3</vt:lpstr>
      <vt:lpstr>MATER4</vt:lpstr>
      <vt:lpstr>MATER5</vt:lpstr>
      <vt:lpstr>MATER6</vt:lpstr>
      <vt:lpstr>MATER7</vt:lpstr>
      <vt:lpstr>MATER8</vt:lpstr>
      <vt:lpstr>MATER9</vt:lpstr>
      <vt:lpstr>MATERIAL1</vt:lpstr>
      <vt:lpstr>MATERIAL10</vt:lpstr>
      <vt:lpstr>MATERIAL11</vt:lpstr>
      <vt:lpstr>MATERIAL2</vt:lpstr>
      <vt:lpstr>MATERIAL3</vt:lpstr>
      <vt:lpstr>MATERIAL4</vt:lpstr>
      <vt:lpstr>MATERIAL5</vt:lpstr>
      <vt:lpstr>MATERIAL6</vt:lpstr>
      <vt:lpstr>MATERIAL7</vt:lpstr>
      <vt:lpstr>MATERIAL8</vt:lpstr>
      <vt:lpstr>MATERIAL9</vt:lpstr>
      <vt:lpstr>MATGAG1</vt:lpstr>
      <vt:lpstr>MATGAG10</vt:lpstr>
      <vt:lpstr>MATGAG11</vt:lpstr>
      <vt:lpstr>MATGAG2</vt:lpstr>
      <vt:lpstr>MATGAG3</vt:lpstr>
      <vt:lpstr>MATGAG4</vt:lpstr>
      <vt:lpstr>MATGAG5</vt:lpstr>
      <vt:lpstr>MATGAG6</vt:lpstr>
      <vt:lpstr>MATGAG7</vt:lpstr>
      <vt:lpstr>MATGAG8</vt:lpstr>
      <vt:lpstr>MATGAG9</vt:lpstr>
      <vt:lpstr>NCLEGAL</vt:lpstr>
      <vt:lpstr>NSLEGAL</vt:lpstr>
      <vt:lpstr>ORDER_BY</vt:lpstr>
      <vt:lpstr>PONUM</vt:lpstr>
      <vt:lpstr>Sheet1!Print_Area</vt:lpstr>
      <vt:lpstr>PROJECT</vt:lpstr>
      <vt:lpstr>PROJECTNUMBER</vt:lpstr>
      <vt:lpstr>PURCHASING</vt:lpstr>
      <vt:lpstr>QUANT1</vt:lpstr>
      <vt:lpstr>QUANT10</vt:lpstr>
      <vt:lpstr>QUANT11</vt:lpstr>
      <vt:lpstr>QUANT2</vt:lpstr>
      <vt:lpstr>QUANT3</vt:lpstr>
      <vt:lpstr>QUANT4</vt:lpstr>
      <vt:lpstr>QUANT5</vt:lpstr>
      <vt:lpstr>QUANT6</vt:lpstr>
      <vt:lpstr>QUANT7</vt:lpstr>
      <vt:lpstr>QUANT8</vt:lpstr>
      <vt:lpstr>QUANT9</vt:lpstr>
      <vt:lpstr>QUNIT1</vt:lpstr>
      <vt:lpstr>QUNIT10</vt:lpstr>
      <vt:lpstr>QUNIT11</vt:lpstr>
      <vt:lpstr>QUNIT2</vt:lpstr>
      <vt:lpstr>QUNIT3</vt:lpstr>
      <vt:lpstr>QUNIT4</vt:lpstr>
      <vt:lpstr>QUNIT5</vt:lpstr>
      <vt:lpstr>QUNIT6</vt:lpstr>
      <vt:lpstr>QUNIT7</vt:lpstr>
      <vt:lpstr>QUNIT8</vt:lpstr>
      <vt:lpstr>QUNIT9</vt:lpstr>
      <vt:lpstr>SHIPTO</vt:lpstr>
      <vt:lpstr>SHIPTOADD1</vt:lpstr>
      <vt:lpstr>SHIPTOADD2</vt:lpstr>
      <vt:lpstr>STATUS</vt:lpstr>
      <vt:lpstr>STATUS1</vt:lpstr>
      <vt:lpstr>STATUS10</vt:lpstr>
      <vt:lpstr>STATUS11</vt:lpstr>
      <vt:lpstr>STATUS2</vt:lpstr>
      <vt:lpstr>STATUS3</vt:lpstr>
      <vt:lpstr>STATUS4</vt:lpstr>
      <vt:lpstr>STATUS5</vt:lpstr>
      <vt:lpstr>STATUS6</vt:lpstr>
      <vt:lpstr>STATUS7</vt:lpstr>
      <vt:lpstr>STATUS8</vt:lpstr>
      <vt:lpstr>STATUS9</vt:lpstr>
      <vt:lpstr>STOCK1</vt:lpstr>
      <vt:lpstr>STOCK10</vt:lpstr>
      <vt:lpstr>STOCK11</vt:lpstr>
      <vt:lpstr>STOCK2</vt:lpstr>
      <vt:lpstr>STOCK3</vt:lpstr>
      <vt:lpstr>STOCK4</vt:lpstr>
      <vt:lpstr>STOCK5</vt:lpstr>
      <vt:lpstr>STOCK6</vt:lpstr>
      <vt:lpstr>STOCK7</vt:lpstr>
      <vt:lpstr>STOCK8</vt:lpstr>
      <vt:lpstr>STOCK9</vt:lpstr>
      <vt:lpstr>TO</vt:lpstr>
      <vt:lpstr>TOTAL1</vt:lpstr>
      <vt:lpstr>TOTAL10</vt:lpstr>
      <vt:lpstr>TOTAL11</vt:lpstr>
      <vt:lpstr>TOTAL2</vt:lpstr>
      <vt:lpstr>TOTAL3</vt:lpstr>
      <vt:lpstr>TOTAL4</vt:lpstr>
      <vt:lpstr>TOTAL5</vt:lpstr>
      <vt:lpstr>TOTAL6</vt:lpstr>
      <vt:lpstr>TOTAL7</vt:lpstr>
      <vt:lpstr>TOTAL8</vt:lpstr>
      <vt:lpstr>TOTAL9</vt:lpstr>
      <vt:lpstr>UNIT1</vt:lpstr>
      <vt:lpstr>UNIT10</vt:lpstr>
      <vt:lpstr>UNIT11</vt:lpstr>
      <vt:lpstr>UNIT2</vt:lpstr>
      <vt:lpstr>UNIT3</vt:lpstr>
      <vt:lpstr>UNIT4</vt:lpstr>
      <vt:lpstr>UNIT5</vt:lpstr>
      <vt:lpstr>UNIT6</vt:lpstr>
      <vt:lpstr>UNIT7</vt:lpstr>
      <vt:lpstr>UNIT8</vt:lpstr>
      <vt:lpstr>UNIT9</vt:lpstr>
      <vt:lpstr>UNITS1</vt:lpstr>
      <vt:lpstr>UNITS10</vt:lpstr>
      <vt:lpstr>UNITS11</vt:lpstr>
      <vt:lpstr>UNITS2</vt:lpstr>
      <vt:lpstr>UNITS3</vt:lpstr>
      <vt:lpstr>UNITS4</vt:lpstr>
      <vt:lpstr>UNITS5</vt:lpstr>
      <vt:lpstr>UNITS6</vt:lpstr>
      <vt:lpstr>UNITS7</vt:lpstr>
      <vt:lpstr>UNITS8</vt:lpstr>
      <vt:lpstr>UNITS9</vt:lpstr>
      <vt:lpstr>VENDOR</vt:lpstr>
      <vt:lpstr>WIDTH1</vt:lpstr>
      <vt:lpstr>WIDTH10</vt:lpstr>
      <vt:lpstr>WIDTH11</vt:lpstr>
      <vt:lpstr>WIDTH2</vt:lpstr>
      <vt:lpstr>WIDTH3</vt:lpstr>
      <vt:lpstr>WIDTH4</vt:lpstr>
      <vt:lpstr>WIDTH5</vt:lpstr>
      <vt:lpstr>WIDTH6</vt:lpstr>
      <vt:lpstr>WIDTH7</vt:lpstr>
      <vt:lpstr>WIDTH8</vt:lpstr>
      <vt:lpstr>WIDTH9</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2015-04-17T18:34:16Z</cp:lastPrinted>
  <dcterms:created xsi:type="dcterms:W3CDTF">2015-04-07T18:09:51Z</dcterms:created>
  <dcterms:modified xsi:type="dcterms:W3CDTF">2015-05-26T19:30:20Z</dcterms:modified>
</cp:coreProperties>
</file>