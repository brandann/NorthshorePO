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240" windowWidth="27795" windowHeight="12465"/>
  </bookViews>
  <sheets>
    <sheet name="Sheet1" sheetId="1" r:id="rId1"/>
  </sheets>
  <definedNames>
    <definedName name="ATTN">Sheet1!$G$7</definedName>
    <definedName name="CATLIST">Sheet1!$X$1:$X$19</definedName>
    <definedName name="COLOR1">Sheet1!$R$17</definedName>
    <definedName name="COLOR10">Sheet1!$R$26</definedName>
    <definedName name="COLOR11">Sheet1!$R$27</definedName>
    <definedName name="COLOR2">Sheet1!$R$18</definedName>
    <definedName name="COLOR3">Sheet1!$R$19</definedName>
    <definedName name="COLOR4">Sheet1!$R$20</definedName>
    <definedName name="COLOR5">Sheet1!$R$21</definedName>
    <definedName name="COLOR6">Sheet1!$R$22</definedName>
    <definedName name="COLOR7">Sheet1!$R$23</definedName>
    <definedName name="COLOR8">Sheet1!$R$24</definedName>
    <definedName name="COLOR9">Sheet1!$R$25</definedName>
    <definedName name="DATE">Sheet1!$G$13</definedName>
    <definedName name="DATEDELIVERY">Sheet1!$G$14</definedName>
    <definedName name="DATEREQ">Sheet1!#REF!</definedName>
    <definedName name="DECRIPTION2">Sheet1!$B$18</definedName>
    <definedName name="DESCRIPTION1">Sheet1!$B$17</definedName>
    <definedName name="DESCRIPTION10">Sheet1!$B$26</definedName>
    <definedName name="DESCRIPTION11">Sheet1!$B$27</definedName>
    <definedName name="DESCRIPTION2">Sheet1!$B$18</definedName>
    <definedName name="DESCRIPTION3">Sheet1!$B$19</definedName>
    <definedName name="DESCRIPTION4">Sheet1!$B$20</definedName>
    <definedName name="DESCRIPTION5">Sheet1!$B$21</definedName>
    <definedName name="DESCRIPTION6">Sheet1!$B$22</definedName>
    <definedName name="DESCRIPTION7">Sheet1!$B$23</definedName>
    <definedName name="DESCRIPTION8">Sheet1!$B$24</definedName>
    <definedName name="DESCRIPTION9">Sheet1!$B$25</definedName>
    <definedName name="DesignationCombo">Sheet1!$W$1:$W$3</definedName>
    <definedName name="FAX">Sheet1!#REF!</definedName>
    <definedName name="HEIGHT1">Sheet1!$T$17</definedName>
    <definedName name="HEIGHT10">Sheet1!$T$26</definedName>
    <definedName name="HEIGHT11">Sheet1!$T$27</definedName>
    <definedName name="HEIGHT2">Sheet1!$T$18</definedName>
    <definedName name="HEIGHT3">Sheet1!$T$19</definedName>
    <definedName name="HEIGHT4">Sheet1!$T$20</definedName>
    <definedName name="HEIGHT5">Sheet1!$T$21</definedName>
    <definedName name="HEIGHT6">Sheet1!$T$22</definedName>
    <definedName name="HEIGHT7">Sheet1!$T$23</definedName>
    <definedName name="HEIGHT8">Sheet1!$T$24</definedName>
    <definedName name="HEIGHT9">Sheet1!$T$25</definedName>
    <definedName name="MATER1">Sheet1!$Q$17</definedName>
    <definedName name="MATER10">Sheet1!$Q$26</definedName>
    <definedName name="MATER11">Sheet1!$Q$27</definedName>
    <definedName name="MATER2">Sheet1!$Q$18</definedName>
    <definedName name="MATER3">Sheet1!$Q$19</definedName>
    <definedName name="MATER4">Sheet1!$Q$20</definedName>
    <definedName name="MATER5">Sheet1!$Q$21</definedName>
    <definedName name="MATER6">Sheet1!$Q$22</definedName>
    <definedName name="MATER7">Sheet1!$Q$23</definedName>
    <definedName name="MATER8">Sheet1!$Q$24</definedName>
    <definedName name="MATER9">Sheet1!$Q$25</definedName>
    <definedName name="MATERIAL1">Sheet1!$N$17</definedName>
    <definedName name="MATERIAL10">Sheet1!$N$26</definedName>
    <definedName name="MATERIAL11">Sheet1!$N$27</definedName>
    <definedName name="MATERIAL2">Sheet1!$N$18</definedName>
    <definedName name="MATERIAL3">Sheet1!$N$19</definedName>
    <definedName name="MATERIAL4">Sheet1!$N$20</definedName>
    <definedName name="MATERIAL5">Sheet1!$N$21</definedName>
    <definedName name="MATERIAL6">Sheet1!$N$22</definedName>
    <definedName name="MATERIAL7">Sheet1!$N$23</definedName>
    <definedName name="MATERIAL8">Sheet1!$N$24</definedName>
    <definedName name="MATERIAL9">Sheet1!$N$25</definedName>
    <definedName name="MATGAG1">Sheet1!$P$17</definedName>
    <definedName name="MATGAG10">Sheet1!$P$26</definedName>
    <definedName name="MATGAG11">Sheet1!$P$27</definedName>
    <definedName name="MATGAG2">Sheet1!$P$18</definedName>
    <definedName name="MATGAG3">Sheet1!$P$19</definedName>
    <definedName name="MATGAG4">Sheet1!$P$20</definedName>
    <definedName name="MATGAG5">Sheet1!$P$21</definedName>
    <definedName name="MATGAG6">Sheet1!$P$22</definedName>
    <definedName name="MATGAG7">Sheet1!$P$23</definedName>
    <definedName name="MATGAG8">Sheet1!$P$24</definedName>
    <definedName name="MATGAG9">Sheet1!$P$25</definedName>
    <definedName name="ORDER_BY">Sheet1!$C$11</definedName>
    <definedName name="PONUM">Sheet1!$C$9</definedName>
    <definedName name="_xlnm.Print_Area" localSheetId="0">Sheet1!$A$4:$K$86</definedName>
    <definedName name="PROJECT">Sheet1!$C$13</definedName>
    <definedName name="PROJECTNUMBER">Sheet1!$C$14</definedName>
    <definedName name="PURCHASING">Sheet1!$F$37</definedName>
    <definedName name="QUANT1">Sheet1!$F$17</definedName>
    <definedName name="QUANT10">Sheet1!$F$26</definedName>
    <definedName name="QUANT11">Sheet1!$F$27</definedName>
    <definedName name="QUANT2">Sheet1!$F$18</definedName>
    <definedName name="QUANT3">Sheet1!$F$19</definedName>
    <definedName name="QUANT4">Sheet1!$F$20</definedName>
    <definedName name="QUANT5">Sheet1!$F$21</definedName>
    <definedName name="QUANT6">Sheet1!$F$22</definedName>
    <definedName name="QUANT7">Sheet1!$F$23</definedName>
    <definedName name="QUANT8">Sheet1!$F$24</definedName>
    <definedName name="QUANT9">Sheet1!$F$25</definedName>
    <definedName name="QUNIT1">Sheet1!$G$17</definedName>
    <definedName name="QUNIT10">Sheet1!$G$26</definedName>
    <definedName name="QUNIT11">Sheet1!$G$27</definedName>
    <definedName name="QUNIT2">Sheet1!$G$18</definedName>
    <definedName name="QUNIT3">Sheet1!$G$19</definedName>
    <definedName name="QUNIT4">Sheet1!$G$20</definedName>
    <definedName name="QUNIT5">Sheet1!$G$21</definedName>
    <definedName name="QUNIT6">Sheet1!$G$22</definedName>
    <definedName name="QUNIT7">Sheet1!$G$23</definedName>
    <definedName name="QUNIT8">Sheet1!$G$24</definedName>
    <definedName name="QUNIT9">Sheet1!$G$25</definedName>
    <definedName name="SHIPTO">Sheet1!$G$9</definedName>
    <definedName name="SHIPTOADD1">Sheet1!$G$10</definedName>
    <definedName name="SHIPTOADD2">Sheet1!$G$11</definedName>
    <definedName name="SHIPVIA">Sheet1!#REF!</definedName>
    <definedName name="STOCK1">Sheet1!$M$17</definedName>
    <definedName name="STOCK10">Sheet1!$M$26</definedName>
    <definedName name="STOCK11">Sheet1!$M$27</definedName>
    <definedName name="STOCK2">Sheet1!$M$18</definedName>
    <definedName name="STOCK3">Sheet1!$M$19</definedName>
    <definedName name="STOCK4">Sheet1!$M$20</definedName>
    <definedName name="STOCK5">Sheet1!$M$21</definedName>
    <definedName name="STOCK6">Sheet1!$M$22</definedName>
    <definedName name="STOCK7">Sheet1!$M$23</definedName>
    <definedName name="STOCK8">Sheet1!$M$24</definedName>
    <definedName name="STOCK9">Sheet1!$M$25</definedName>
    <definedName name="TO">Sheet1!$G$6</definedName>
    <definedName name="TOTAL1">Sheet1!$I$17</definedName>
    <definedName name="TOTAL10">Sheet1!$I$26</definedName>
    <definedName name="TOTAL11">Sheet1!$I$27</definedName>
    <definedName name="TOTAL2">Sheet1!$I$18</definedName>
    <definedName name="TOTAL3">Sheet1!$I$19</definedName>
    <definedName name="TOTAL4">Sheet1!$I$20</definedName>
    <definedName name="TOTAL5">Sheet1!$I$21</definedName>
    <definedName name="TOTAL6">Sheet1!$I$22</definedName>
    <definedName name="TOTAL7">Sheet1!$I$23</definedName>
    <definedName name="TOTAL8">Sheet1!$I$24</definedName>
    <definedName name="TOTAL9">Sheet1!$I$25</definedName>
    <definedName name="UNIT1">Sheet1!$H$17</definedName>
    <definedName name="UNIT10">Sheet1!$H$26</definedName>
    <definedName name="UNIT11">Sheet1!$H$27</definedName>
    <definedName name="UNIT2">Sheet1!$H$18</definedName>
    <definedName name="UNIT3">Sheet1!$H$19</definedName>
    <definedName name="UNIT4">Sheet1!$H$20</definedName>
    <definedName name="UNIT5">Sheet1!$H$21</definedName>
    <definedName name="UNIT6">Sheet1!$H$22</definedName>
    <definedName name="UNIT7">Sheet1!$H$23</definedName>
    <definedName name="UNIT8">Sheet1!$H$24</definedName>
    <definedName name="UNIT9">Sheet1!$H$25</definedName>
    <definedName name="UNITS1">Sheet1!$U$17</definedName>
    <definedName name="UNITS10">Sheet1!$U$26</definedName>
    <definedName name="UNITS11">Sheet1!$U$27</definedName>
    <definedName name="UNITS2">Sheet1!$U$18</definedName>
    <definedName name="UNITS3">Sheet1!$U$19</definedName>
    <definedName name="UNITS4">Sheet1!$U$20</definedName>
    <definedName name="UNITS5">Sheet1!$U$21</definedName>
    <definedName name="UNITS6">Sheet1!$U$22</definedName>
    <definedName name="UNITS7">Sheet1!$U$23</definedName>
    <definedName name="UNITS8">Sheet1!$U$24</definedName>
    <definedName name="UNITS9">Sheet1!$U$25</definedName>
    <definedName name="VENDOR">Sheet1!$F$39</definedName>
    <definedName name="WIDTH1">Sheet1!$S$17</definedName>
    <definedName name="WIDTH10">Sheet1!$S$26</definedName>
    <definedName name="WIDTH11">Sheet1!$S$27</definedName>
    <definedName name="WIDTH2">Sheet1!$S$18</definedName>
    <definedName name="WIDTH3">Sheet1!$S$19</definedName>
    <definedName name="WIDTH4">Sheet1!$S$20</definedName>
    <definedName name="WIDTH5">Sheet1!$S$21</definedName>
    <definedName name="WIDTH6">Sheet1!$S$22</definedName>
    <definedName name="WIDTH7">Sheet1!$S$23</definedName>
    <definedName name="WIDTH8">Sheet1!$S$24</definedName>
    <definedName name="WIDTH9">Sheet1!$S$25</definedName>
    <definedName name="YesNo">Sheet1!$W$1:$W$2</definedName>
  </definedNames>
  <calcPr calcId="145621"/>
</workbook>
</file>

<file path=xl/calcChain.xml><?xml version="1.0" encoding="utf-8"?>
<calcChain xmlns="http://schemas.openxmlformats.org/spreadsheetml/2006/main">
  <c r="I27" i="1" l="1"/>
  <c r="I26" i="1"/>
  <c r="I25" i="1"/>
  <c r="I24" i="1"/>
  <c r="I23" i="1"/>
  <c r="I22" i="1"/>
  <c r="I21" i="1"/>
  <c r="I20" i="1"/>
  <c r="I19" i="1"/>
  <c r="I18" i="1"/>
  <c r="I17" i="1"/>
  <c r="Z18" i="1" l="1"/>
  <c r="AA18" i="1"/>
  <c r="Z19" i="1"/>
  <c r="AA19" i="1"/>
  <c r="Z20" i="1"/>
  <c r="AA20" i="1"/>
  <c r="Z21" i="1"/>
  <c r="AA21" i="1"/>
  <c r="Z22" i="1"/>
  <c r="AA22" i="1"/>
  <c r="Z23" i="1"/>
  <c r="AA23" i="1"/>
  <c r="Z24" i="1"/>
  <c r="AA24" i="1"/>
  <c r="Z25" i="1"/>
  <c r="AA25" i="1"/>
  <c r="Z26" i="1"/>
  <c r="AA26" i="1"/>
  <c r="Z27" i="1"/>
  <c r="AA27" i="1"/>
  <c r="AA17" i="1"/>
  <c r="Z17" i="1"/>
  <c r="M6" i="1"/>
  <c r="M5" i="1"/>
  <c r="M4" i="1"/>
  <c r="M3" i="1"/>
  <c r="V27" i="1"/>
  <c r="V26" i="1"/>
  <c r="V25" i="1"/>
  <c r="V24" i="1"/>
  <c r="AB26" i="1" l="1"/>
  <c r="AC26" i="1" s="1"/>
  <c r="AB24" i="1"/>
  <c r="AC24" i="1" s="1"/>
  <c r="AB17" i="1"/>
  <c r="AC17" i="1" s="1"/>
  <c r="AB27" i="1"/>
  <c r="AC27" i="1" s="1"/>
  <c r="AB25" i="1"/>
  <c r="AC25" i="1" s="1"/>
  <c r="L24" i="1"/>
  <c r="AB23" i="1"/>
  <c r="AC23" i="1" s="1"/>
  <c r="AB22" i="1"/>
  <c r="AC22" i="1" s="1"/>
  <c r="L22" i="1"/>
  <c r="AB21" i="1"/>
  <c r="AC21" i="1" s="1"/>
  <c r="AB20" i="1"/>
  <c r="AC20" i="1" s="1"/>
  <c r="AB19" i="1"/>
  <c r="AC19" i="1" s="1"/>
  <c r="AB18" i="1"/>
  <c r="AC18" i="1" s="1"/>
  <c r="L26" i="1"/>
  <c r="L27" i="1"/>
  <c r="L25" i="1"/>
  <c r="L23" i="1"/>
  <c r="L21" i="1"/>
  <c r="L20" i="1"/>
  <c r="L19" i="1"/>
  <c r="L18" i="1"/>
  <c r="L17" i="1"/>
  <c r="X17" i="1"/>
  <c r="V18" i="1"/>
  <c r="V19" i="1"/>
  <c r="V20" i="1"/>
  <c r="V21" i="1"/>
  <c r="V22" i="1"/>
  <c r="V23" i="1"/>
  <c r="V17" i="1"/>
  <c r="M8" i="1" l="1"/>
  <c r="M7" i="1"/>
  <c r="I28" i="1"/>
</calcChain>
</file>

<file path=xl/connections.xml><?xml version="1.0" encoding="utf-8"?>
<connections xmlns="http://schemas.openxmlformats.org/spreadsheetml/2006/main">
  <connection id="1" sourceFile="C:\Users\brandan\Documents\NorthshorePO\Access\NssmInventory.mdb" keepAlive="1" name="NssmInventory" type="5" refreshedVersion="0" new="1" backgroun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s>
</file>

<file path=xl/sharedStrings.xml><?xml version="1.0" encoding="utf-8"?>
<sst xmlns="http://schemas.openxmlformats.org/spreadsheetml/2006/main" count="65" uniqueCount="54">
  <si>
    <t>To:</t>
  </si>
  <si>
    <t>Attn:</t>
  </si>
  <si>
    <t>Description</t>
  </si>
  <si>
    <t>Qty.</t>
  </si>
  <si>
    <t>Unit Price</t>
  </si>
  <si>
    <t>Purchase Order No.:</t>
  </si>
  <si>
    <t>Date:</t>
  </si>
  <si>
    <t>Ship To:</t>
  </si>
  <si>
    <t>Project:</t>
  </si>
  <si>
    <t>Total</t>
  </si>
  <si>
    <t>THE TERMS AND CONDITIONS ON THIS FORM AND ATTACHED HERETO SHALL CONSTITUTE THE FINAL AND COMPLETE AGREEMENT BETWEEN PURCHASER AND SELLER.</t>
  </si>
  <si>
    <t>Not valid unless signed by Purchasing Agent</t>
  </si>
  <si>
    <t>NORTHSHORE SHEET METAL, INC.</t>
  </si>
  <si>
    <t>By</t>
  </si>
  <si>
    <t>Accepted By</t>
  </si>
  <si>
    <t>Northshore Sheet Metal, Inc.
Purchase Order Terms and Conditions</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</si>
  <si>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</si>
  <si>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</si>
  <si>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</si>
  <si>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COLOR</t>
  </si>
  <si>
    <t>Project No.:</t>
  </si>
  <si>
    <t>Order By:</t>
  </si>
  <si>
    <t>WIDTH</t>
  </si>
  <si>
    <t>HEIGHT</t>
  </si>
  <si>
    <t>UNITS</t>
  </si>
  <si>
    <t>DESCRIPTION</t>
  </si>
  <si>
    <t>Total Amount</t>
  </si>
  <si>
    <t>Notes</t>
  </si>
  <si>
    <t>Unit</t>
  </si>
  <si>
    <t>Fasteners</t>
  </si>
  <si>
    <t>Sealant</t>
  </si>
  <si>
    <t>Panel</t>
  </si>
  <si>
    <t>Louver</t>
  </si>
  <si>
    <t>Crate</t>
  </si>
  <si>
    <t>Tools</t>
  </si>
  <si>
    <t>Paint</t>
  </si>
  <si>
    <t>Other</t>
  </si>
  <si>
    <t>Category</t>
  </si>
  <si>
    <t>ERRORS</t>
  </si>
  <si>
    <t>Everett, WA 98204</t>
  </si>
  <si>
    <t>Northshore Sheet Metal</t>
  </si>
  <si>
    <t>11831 Beverly Park Road, Building C</t>
  </si>
  <si>
    <t>Delivery:</t>
  </si>
  <si>
    <t>(Purchasing Agent)</t>
  </si>
  <si>
    <t>(Vendor Approved)</t>
  </si>
  <si>
    <t>Flat Sheets</t>
  </si>
  <si>
    <t>Extrusions</t>
  </si>
  <si>
    <t>Shop Supply</t>
  </si>
  <si>
    <t>Field Material</t>
  </si>
  <si>
    <t>Designation</t>
  </si>
  <si>
    <t>Northshore</t>
  </si>
  <si>
    <t>Northclad</t>
  </si>
  <si>
    <t>Stock/Shop</t>
  </si>
  <si>
    <t xml:space="preserve">2900 on First Phase II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</si>
</sst>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43" formatCode="_(* #,##0.00_);_(* \(#,##0.00\);_(* &quot;-&quot;??_);_(@_)"/>
    <numFmt numFmtId="164" formatCode="_(* #,##0_);_(* \(#,##0\);_(* &quot;-&quot;??_);_(@_)"/>
  </numFmts>
  <fonts count="9"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1"/>
      <color theme="1"/>
      <name val="Calibri"/>
      <family val="2"/>
      <scheme val="minor"/>
    </font>
    <font>
      <b/>
      <sz val="12"/>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1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44" fontId="7" fillId="0" borderId="0" applyFont="0" applyFill="0" applyBorder="0" applyAlignment="0" applyProtection="0"/>
    <xf numFmtId="43" fontId="7" fillId="0" borderId="0" applyFont="0" applyFill="0" applyBorder="0" applyAlignment="0" applyProtection="0"/>
  </cellStyleXfs>
  <cellXfs count="58">
    <xf numFmtId="0" fontId="0" fillId="0" borderId="0" xfId="0"/>
    <xf numFmtId="0" fontId="0" fillId="2" borderId="0" xfId="0" applyFill="1"/>
    <xf numFmtId="0" fontId="3" fillId="2" borderId="0" xfId="0" applyFont="1" applyFill="1" applyAlignment="1">
      <alignment vertical="top" wrapText="1"/>
    </xf>
    <xf numFmtId="0" fontId="4" fillId="2" borderId="0" xfId="0" applyFont="1" applyFill="1" applyAlignment="1">
      <alignment horizontal="justify" vertical="top"/>
    </xf>
    <xf numFmtId="0" fontId="0" fillId="2" borderId="0" xfId="0" applyFill="1" applyBorder="1"/>
    <xf numFmtId="0" fontId="0" fillId="2" borderId="0" xfId="0" applyFill="1" applyAlignment="1">
      <alignment horizontal="left"/>
    </xf>
    <xf numFmtId="0" fontId="0" fillId="2" borderId="4" xfId="0" applyFill="1" applyBorder="1"/>
    <xf numFmtId="44" fontId="0" fillId="2" borderId="4" xfId="1" applyFont="1" applyFill="1" applyBorder="1"/>
    <xf numFmtId="0" fontId="0" fillId="2" borderId="0" xfId="0" applyFill="1" applyAlignment="1">
      <alignment horizontal="right"/>
    </xf>
    <xf numFmtId="0" fontId="1" fillId="4" borderId="4" xfId="0" applyFont="1" applyFill="1" applyBorder="1" applyAlignment="1">
      <alignment horizontal="center" wrapText="1"/>
    </xf>
    <xf numFmtId="0" fontId="0" fillId="3" borderId="0" xfId="0" applyFill="1" applyBorder="1"/>
    <xf numFmtId="0" fontId="0" fillId="3" borderId="0" xfId="0" applyFill="1" applyBorder="1" applyAlignment="1">
      <alignment wrapText="1"/>
    </xf>
    <xf numFmtId="0" fontId="0" fillId="3" borderId="4" xfId="0" applyFill="1" applyBorder="1"/>
    <xf numFmtId="44" fontId="0" fillId="3" borderId="4" xfId="1" applyFont="1" applyFill="1" applyBorder="1"/>
    <xf numFmtId="0" fontId="1" fillId="3" borderId="4" xfId="0" applyFont="1" applyFill="1" applyBorder="1" applyAlignment="1">
      <alignment wrapText="1"/>
    </xf>
    <xf numFmtId="43" fontId="4" fillId="2" borderId="0" xfId="2" applyFont="1" applyFill="1" applyAlignment="1">
      <alignment horizontal="justify" vertical="top"/>
    </xf>
    <xf numFmtId="0" fontId="2" fillId="2" borderId="3" xfId="0" applyFont="1" applyFill="1" applyBorder="1" applyAlignment="1">
      <alignment horizontal="center" vertical="top"/>
    </xf>
    <xf numFmtId="0" fontId="0" fillId="2" borderId="4" xfId="0" applyFill="1" applyBorder="1" applyAlignment="1">
      <alignment horizontal="center"/>
    </xf>
    <xf numFmtId="0" fontId="0" fillId="3" borderId="4" xfId="0" applyFill="1" applyBorder="1" applyAlignment="1">
      <alignment horizontal="center"/>
    </xf>
    <xf numFmtId="44" fontId="0" fillId="2" borderId="4" xfId="1" applyFont="1" applyFill="1" applyBorder="1" applyAlignment="1">
      <alignment horizontal="right"/>
    </xf>
    <xf numFmtId="44" fontId="0" fillId="3" borderId="4" xfId="1" applyFont="1" applyFill="1" applyBorder="1" applyAlignment="1">
      <alignment horizontal="right"/>
    </xf>
    <xf numFmtId="44" fontId="1" fillId="3" borderId="4" xfId="0" applyNumberFormat="1" applyFont="1" applyFill="1" applyBorder="1" applyAlignment="1">
      <alignment horizontal="right"/>
    </xf>
    <xf numFmtId="0" fontId="1" fillId="2" borderId="0" xfId="0" applyFont="1" applyFill="1" applyAlignment="1">
      <alignment wrapText="1"/>
    </xf>
    <xf numFmtId="164" fontId="0" fillId="2" borderId="4" xfId="2" applyNumberFormat="1" applyFont="1" applyFill="1" applyBorder="1"/>
    <xf numFmtId="164" fontId="0" fillId="3" borderId="4" xfId="2" applyNumberFormat="1" applyFont="1" applyFill="1" applyBorder="1"/>
    <xf numFmtId="2" fontId="0" fillId="2" borderId="4" xfId="2" applyNumberFormat="1" applyFont="1" applyFill="1" applyBorder="1"/>
    <xf numFmtId="2" fontId="0" fillId="3" borderId="4" xfId="2" applyNumberFormat="1" applyFont="1" applyFill="1" applyBorder="1"/>
    <xf numFmtId="2" fontId="0" fillId="2" borderId="4" xfId="1" applyNumberFormat="1" applyFont="1" applyFill="1" applyBorder="1"/>
    <xf numFmtId="2" fontId="0" fillId="3" borderId="4" xfId="1" applyNumberFormat="1" applyFont="1" applyFill="1" applyBorder="1"/>
    <xf numFmtId="0" fontId="0" fillId="2" borderId="8" xfId="0" applyFill="1" applyBorder="1"/>
    <xf numFmtId="0" fontId="0" fillId="2" borderId="9" xfId="0" applyFill="1" applyBorder="1"/>
    <xf numFmtId="0" fontId="0" fillId="2" borderId="7" xfId="0" applyFill="1" applyBorder="1"/>
    <xf numFmtId="0" fontId="2" fillId="2" borderId="3" xfId="0" applyFont="1" applyFill="1" applyBorder="1" applyAlignment="1">
      <alignment horizontal="left"/>
    </xf>
    <xf numFmtId="0" fontId="6" fillId="2" borderId="1" xfId="0" applyFont="1" applyFill="1" applyBorder="1" applyAlignment="1">
      <alignment horizontal="left"/>
    </xf>
    <xf numFmtId="0" fontId="1" fillId="2" borderId="0" xfId="0" applyFont="1" applyFill="1" applyBorder="1"/>
    <xf numFmtId="0" fontId="8" fillId="2" borderId="0" xfId="0" applyFont="1" applyFill="1" applyBorder="1"/>
    <xf numFmtId="0" fontId="0" fillId="2" borderId="5" xfId="0" applyFill="1" applyBorder="1" applyAlignment="1">
      <alignment wrapText="1"/>
    </xf>
    <xf numFmtId="0" fontId="0" fillId="2" borderId="2" xfId="0" applyFill="1" applyBorder="1" applyAlignment="1">
      <alignment wrapText="1"/>
    </xf>
    <xf numFmtId="0" fontId="0" fillId="2" borderId="6" xfId="0" applyFill="1" applyBorder="1" applyAlignment="1">
      <alignment wrapText="1"/>
    </xf>
    <xf numFmtId="0" fontId="0" fillId="3" borderId="5" xfId="0" applyFill="1" applyBorder="1" applyAlignment="1"/>
    <xf numFmtId="0" fontId="0" fillId="3" borderId="2" xfId="0" applyFill="1" applyBorder="1" applyAlignment="1"/>
    <xf numFmtId="0" fontId="0" fillId="3" borderId="6" xfId="0" applyFill="1" applyBorder="1" applyAlignment="1"/>
    <xf numFmtId="0" fontId="1" fillId="4" borderId="5" xfId="0" applyFont="1" applyFill="1" applyBorder="1" applyAlignment="1">
      <alignment horizontal="center" wrapText="1"/>
    </xf>
    <xf numFmtId="0" fontId="1" fillId="4" borderId="2" xfId="0" applyFont="1" applyFill="1" applyBorder="1" applyAlignment="1">
      <alignment horizontal="center" wrapText="1"/>
    </xf>
    <xf numFmtId="0" fontId="1" fillId="4" borderId="6" xfId="0" applyFont="1" applyFill="1" applyBorder="1" applyAlignment="1">
      <alignment horizontal="center" wrapText="1"/>
    </xf>
    <xf numFmtId="44" fontId="0" fillId="2" borderId="5" xfId="0" applyNumberFormat="1" applyFill="1" applyBorder="1" applyAlignment="1">
      <alignment wrapText="1"/>
    </xf>
    <xf numFmtId="0" fontId="1" fillId="2" borderId="0" xfId="0" applyFont="1" applyFill="1" applyAlignment="1">
      <alignment horizontal="center" vertical="top" wrapText="1"/>
    </xf>
    <xf numFmtId="0" fontId="5" fillId="2" borderId="0" xfId="0" applyFont="1" applyFill="1" applyAlignment="1">
      <alignment horizontal="justify" vertical="top" wrapText="1"/>
    </xf>
    <xf numFmtId="0" fontId="6" fillId="2" borderId="0" xfId="0" applyFont="1" applyFill="1" applyAlignment="1">
      <alignment horizontal="center" wrapText="1"/>
    </xf>
    <xf numFmtId="0" fontId="0" fillId="2" borderId="1" xfId="0" applyFill="1" applyBorder="1" applyAlignment="1">
      <alignment horizontal="left"/>
    </xf>
    <xf numFmtId="0" fontId="1" fillId="2" borderId="0" xfId="0" applyFont="1" applyFill="1" applyAlignment="1">
      <alignment horizontal="center" wrapText="1"/>
    </xf>
    <xf numFmtId="0" fontId="0" fillId="2" borderId="5" xfId="0" applyFill="1" applyBorder="1" applyAlignment="1">
      <alignment horizontal="left" vertical="top"/>
    </xf>
    <xf numFmtId="0" fontId="0" fillId="2" borderId="2" xfId="0" applyFill="1" applyBorder="1" applyAlignment="1">
      <alignment horizontal="left" vertical="top"/>
    </xf>
    <xf numFmtId="0" fontId="0" fillId="2" borderId="6" xfId="0" applyFill="1" applyBorder="1" applyAlignment="1">
      <alignment horizontal="left" vertical="top"/>
    </xf>
    <xf numFmtId="0" fontId="1" fillId="3" borderId="1" xfId="0" applyFont="1" applyFill="1" applyBorder="1" applyAlignment="1">
      <alignment horizontal="left"/>
    </xf>
    <xf numFmtId="0" fontId="0" fillId="3" borderId="1" xfId="0" applyFill="1" applyBorder="1" applyAlignment="1">
      <alignment horizontal="left"/>
    </xf>
    <xf numFmtId="0" fontId="0" fillId="3" borderId="0" xfId="0" applyFill="1" applyBorder="1" applyAlignment="1">
      <alignment horizontal="left" wrapText="1"/>
    </xf>
    <xf numFmtId="14" fontId="0" fillId="3" borderId="1" xfId="0" applyNumberFormat="1" applyFill="1" applyBorder="1" applyAlignment="1">
      <alignment horizontal="left"/>
    </xf>
  </cellXfs>
  <cellStyles count="3">
    <cellStyle name="Comma" xfId="2" builtinId="3"/>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4.emf"/><Relationship Id="rId2" Type="http://schemas.openxmlformats.org/officeDocument/2006/relationships/image" Target="../media/image14.emf"/><Relationship Id="rId16"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5" Type="http://schemas.openxmlformats.org/officeDocument/2006/relationships/image" Target="../media/image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 Id="rId1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2</xdr:row>
      <xdr:rowOff>9525</xdr:rowOff>
    </xdr:from>
    <xdr:to>
      <xdr:col>2</xdr:col>
      <xdr:colOff>190500</xdr:colOff>
      <xdr:row>6</xdr:row>
      <xdr:rowOff>149906</xdr:rowOff>
    </xdr:to>
    <xdr:pic>
      <xdr:nvPicPr>
        <xdr:cNvPr id="3" name="Picture 2"/>
        <xdr:cNvPicPr>
          <a:picLocks noChangeAspect="1"/>
        </xdr:cNvPicPr>
      </xdr:nvPicPr>
      <xdr:blipFill>
        <a:blip xmlns:r="http://schemas.openxmlformats.org/officeDocument/2006/relationships" r:embed="rId1"/>
        <a:stretch>
          <a:fillRect/>
        </a:stretch>
      </xdr:blipFill>
      <xdr:spPr>
        <a:xfrm>
          <a:off x="209550" y="361950"/>
          <a:ext cx="981075" cy="8642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161925</xdr:colOff>
          <xdr:row>0</xdr:row>
          <xdr:rowOff>152400</xdr:rowOff>
        </xdr:from>
        <xdr:to>
          <xdr:col>11</xdr:col>
          <xdr:colOff>1076325</xdr:colOff>
          <xdr:row>3</xdr:row>
          <xdr:rowOff>95250</xdr:rowOff>
        </xdr:to>
        <xdr:sp macro="" textlink="">
          <xdr:nvSpPr>
            <xdr:cNvPr id="1025" name="PONumberBt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6</xdr:row>
          <xdr:rowOff>104775</xdr:rowOff>
        </xdr:from>
        <xdr:to>
          <xdr:col>11</xdr:col>
          <xdr:colOff>1076325</xdr:colOff>
          <xdr:row>9</xdr:row>
          <xdr:rowOff>19050</xdr:rowOff>
        </xdr:to>
        <xdr:sp macro="" textlink="">
          <xdr:nvSpPr>
            <xdr:cNvPr id="1028" name="ClearBtn"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3</xdr:row>
          <xdr:rowOff>152400</xdr:rowOff>
        </xdr:from>
        <xdr:to>
          <xdr:col>11</xdr:col>
          <xdr:colOff>1076325</xdr:colOff>
          <xdr:row>6</xdr:row>
          <xdr:rowOff>47625</xdr:rowOff>
        </xdr:to>
        <xdr:sp macro="" textlink="">
          <xdr:nvSpPr>
            <xdr:cNvPr id="1035" name="CommandButton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16</xdr:row>
          <xdr:rowOff>85725</xdr:rowOff>
        </xdr:from>
        <xdr:to>
          <xdr:col>4</xdr:col>
          <xdr:colOff>171450</xdr:colOff>
          <xdr:row>17</xdr:row>
          <xdr:rowOff>0</xdr:rowOff>
        </xdr:to>
        <xdr:sp macro="" textlink="">
          <xdr:nvSpPr>
            <xdr:cNvPr id="1044" name="des1btn" hidden="1">
              <a:extLst>
                <a:ext uri="{63B3BB69-23CF-44E3-9099-C40C66FF867C}">
                  <a14:compatExt spid="_x0000_s104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17</xdr:row>
          <xdr:rowOff>85725</xdr:rowOff>
        </xdr:from>
        <xdr:to>
          <xdr:col>4</xdr:col>
          <xdr:colOff>171450</xdr:colOff>
          <xdr:row>18</xdr:row>
          <xdr:rowOff>0</xdr:rowOff>
        </xdr:to>
        <xdr:sp macro="" textlink="">
          <xdr:nvSpPr>
            <xdr:cNvPr id="1045" name="CommandButton2"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18</xdr:row>
          <xdr:rowOff>85725</xdr:rowOff>
        </xdr:from>
        <xdr:to>
          <xdr:col>4</xdr:col>
          <xdr:colOff>171450</xdr:colOff>
          <xdr:row>19</xdr:row>
          <xdr:rowOff>0</xdr:rowOff>
        </xdr:to>
        <xdr:sp macro="" textlink="">
          <xdr:nvSpPr>
            <xdr:cNvPr id="1046" name="CommandButton3"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19</xdr:row>
          <xdr:rowOff>85725</xdr:rowOff>
        </xdr:from>
        <xdr:to>
          <xdr:col>4</xdr:col>
          <xdr:colOff>171450</xdr:colOff>
          <xdr:row>20</xdr:row>
          <xdr:rowOff>0</xdr:rowOff>
        </xdr:to>
        <xdr:sp macro="" textlink="">
          <xdr:nvSpPr>
            <xdr:cNvPr id="1047" name="CommandButton4"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20</xdr:row>
          <xdr:rowOff>85725</xdr:rowOff>
        </xdr:from>
        <xdr:to>
          <xdr:col>4</xdr:col>
          <xdr:colOff>171450</xdr:colOff>
          <xdr:row>21</xdr:row>
          <xdr:rowOff>0</xdr:rowOff>
        </xdr:to>
        <xdr:sp macro="" textlink="">
          <xdr:nvSpPr>
            <xdr:cNvPr id="1048" name="CommandButton5"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21</xdr:row>
          <xdr:rowOff>85725</xdr:rowOff>
        </xdr:from>
        <xdr:to>
          <xdr:col>4</xdr:col>
          <xdr:colOff>171450</xdr:colOff>
          <xdr:row>22</xdr:row>
          <xdr:rowOff>0</xdr:rowOff>
        </xdr:to>
        <xdr:sp macro="" textlink="">
          <xdr:nvSpPr>
            <xdr:cNvPr id="1049" name="CommandButton6" hidden="1">
              <a:extLst>
                <a:ext uri="{63B3BB69-23CF-44E3-9099-C40C66FF867C}">
                  <a14:compatExt spid="_x0000_s10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22</xdr:row>
          <xdr:rowOff>85725</xdr:rowOff>
        </xdr:from>
        <xdr:to>
          <xdr:col>4</xdr:col>
          <xdr:colOff>171450</xdr:colOff>
          <xdr:row>23</xdr:row>
          <xdr:rowOff>0</xdr:rowOff>
        </xdr:to>
        <xdr:sp macro="" textlink="">
          <xdr:nvSpPr>
            <xdr:cNvPr id="1050" name="CommandButton7" hidden="1">
              <a:extLst>
                <a:ext uri="{63B3BB69-23CF-44E3-9099-C40C66FF867C}">
                  <a14:compatExt spid="_x0000_s10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23</xdr:row>
          <xdr:rowOff>85725</xdr:rowOff>
        </xdr:from>
        <xdr:to>
          <xdr:col>4</xdr:col>
          <xdr:colOff>171450</xdr:colOff>
          <xdr:row>24</xdr:row>
          <xdr:rowOff>0</xdr:rowOff>
        </xdr:to>
        <xdr:sp macro="" textlink="">
          <xdr:nvSpPr>
            <xdr:cNvPr id="1051" name="CommandButton8" hidden="1">
              <a:extLst>
                <a:ext uri="{63B3BB69-23CF-44E3-9099-C40C66FF867C}">
                  <a14:compatExt spid="_x0000_s10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24</xdr:row>
          <xdr:rowOff>85725</xdr:rowOff>
        </xdr:from>
        <xdr:to>
          <xdr:col>4</xdr:col>
          <xdr:colOff>171450</xdr:colOff>
          <xdr:row>25</xdr:row>
          <xdr:rowOff>0</xdr:rowOff>
        </xdr:to>
        <xdr:sp macro="" textlink="">
          <xdr:nvSpPr>
            <xdr:cNvPr id="1052" name="CommandButton9" hidden="1">
              <a:extLst>
                <a:ext uri="{63B3BB69-23CF-44E3-9099-C40C66FF867C}">
                  <a14:compatExt spid="_x0000_s10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25</xdr:row>
          <xdr:rowOff>85725</xdr:rowOff>
        </xdr:from>
        <xdr:to>
          <xdr:col>4</xdr:col>
          <xdr:colOff>171450</xdr:colOff>
          <xdr:row>26</xdr:row>
          <xdr:rowOff>0</xdr:rowOff>
        </xdr:to>
        <xdr:sp macro="" textlink="">
          <xdr:nvSpPr>
            <xdr:cNvPr id="1053" name="CommandButton10" hidden="1">
              <a:extLst>
                <a:ext uri="{63B3BB69-23CF-44E3-9099-C40C66FF867C}">
                  <a14:compatExt spid="_x0000_s105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26</xdr:row>
          <xdr:rowOff>85725</xdr:rowOff>
        </xdr:from>
        <xdr:to>
          <xdr:col>4</xdr:col>
          <xdr:colOff>171450</xdr:colOff>
          <xdr:row>27</xdr:row>
          <xdr:rowOff>0</xdr:rowOff>
        </xdr:to>
        <xdr:sp macro="" textlink="">
          <xdr:nvSpPr>
            <xdr:cNvPr id="1054" name="CommandButton11" hidden="1">
              <a:extLst>
                <a:ext uri="{63B3BB69-23CF-44E3-9099-C40C66FF867C}">
                  <a14:compatExt spid="_x0000_s105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7</xdr:row>
          <xdr:rowOff>85725</xdr:rowOff>
        </xdr:from>
        <xdr:to>
          <xdr:col>9</xdr:col>
          <xdr:colOff>0</xdr:colOff>
          <xdr:row>8</xdr:row>
          <xdr:rowOff>161925</xdr:rowOff>
        </xdr:to>
        <xdr:sp macro="" textlink="">
          <xdr:nvSpPr>
            <xdr:cNvPr id="1057" name="CommandButton13" hidden="1">
              <a:extLst>
                <a:ext uri="{63B3BB69-23CF-44E3-9099-C40C66FF867C}">
                  <a14:compatExt spid="_x0000_s10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13</xdr:row>
          <xdr:rowOff>57150</xdr:rowOff>
        </xdr:from>
        <xdr:to>
          <xdr:col>4</xdr:col>
          <xdr:colOff>19050</xdr:colOff>
          <xdr:row>14</xdr:row>
          <xdr:rowOff>133350</xdr:rowOff>
        </xdr:to>
        <xdr:sp macro="" textlink="">
          <xdr:nvSpPr>
            <xdr:cNvPr id="1064" name="CommandButton17" hidden="1">
              <a:extLst>
                <a:ext uri="{63B3BB69-23CF-44E3-9099-C40C66FF867C}">
                  <a14:compatExt spid="_x0000_s1064"/>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86"/>
  <sheetViews>
    <sheetView tabSelected="1" topLeftCell="A7" zoomScaleNormal="100" workbookViewId="0">
      <selection activeCell="C13" sqref="C13:D13"/>
    </sheetView>
  </sheetViews>
  <sheetFormatPr defaultRowHeight="15" x14ac:dyDescent="0.25"/>
  <cols>
    <col min="1" max="1" width="2.85546875" style="1" customWidth="1"/>
    <col min="2" max="2" width="12.140625" style="1" customWidth="1"/>
    <col min="3" max="3" width="17.85546875" style="1" customWidth="1"/>
    <col min="4" max="4" width="12" style="1" customWidth="1"/>
    <col min="5" max="5" width="2.7109375" style="1" customWidth="1"/>
    <col min="6" max="6" width="9.28515625" style="1" customWidth="1"/>
    <col min="7" max="7" width="8.5703125" style="1" customWidth="1"/>
    <col min="8" max="8" width="13.140625" style="1" customWidth="1"/>
    <col min="9" max="9" width="13" style="1" customWidth="1"/>
    <col min="10" max="10" width="1.85546875" style="1" customWidth="1"/>
    <col min="11" max="11" width="1.7109375" style="1" customWidth="1"/>
    <col min="12" max="12" width="20.28515625" style="1" bestFit="1" customWidth="1"/>
    <col min="13" max="13" width="11.5703125" style="1" customWidth="1"/>
    <col min="14" max="14" width="11.5703125" style="1" bestFit="1" customWidth="1"/>
    <col min="15" max="15" width="13.42578125" style="1" bestFit="1" customWidth="1"/>
    <col min="16" max="16" width="8" style="1" customWidth="1"/>
    <col min="17" max="17" width="11.7109375" style="1" customWidth="1"/>
    <col min="18" max="18" width="7" style="1" customWidth="1"/>
    <col min="19" max="19" width="8" style="1" customWidth="1"/>
    <col min="20" max="20" width="9" style="1" customWidth="1"/>
    <col min="21" max="21" width="6.42578125" style="1" customWidth="1"/>
    <col min="22" max="22" width="29.28515625" style="1" customWidth="1"/>
    <col min="23" max="28" width="9.140625" style="1" customWidth="1"/>
    <col min="29" max="16384" width="9.140625" style="1"/>
  </cols>
  <sheetData>
    <row r="1" spans="2:24" ht="15" customHeight="1" x14ac:dyDescent="0.25">
      <c r="K1" s="2"/>
      <c r="L1" s="2"/>
      <c r="M1" s="2"/>
      <c r="N1" s="2"/>
      <c r="W1" s="31" t="s">
        <v>50</v>
      </c>
      <c r="X1" s="29" t="s">
        <v>36</v>
      </c>
    </row>
    <row r="2" spans="2:24" ht="12.75" customHeight="1" x14ac:dyDescent="0.25">
      <c r="K2" s="2"/>
      <c r="L2" s="2"/>
      <c r="M2" s="34" t="s">
        <v>38</v>
      </c>
      <c r="N2" s="2"/>
      <c r="W2" s="4" t="s">
        <v>51</v>
      </c>
      <c r="X2" s="29" t="s">
        <v>33</v>
      </c>
    </row>
    <row r="3" spans="2:24" ht="12.75" customHeight="1" x14ac:dyDescent="0.25">
      <c r="K3" s="2"/>
      <c r="L3" s="2"/>
      <c r="M3" s="35" t="str">
        <f>IF(PONUM="","Purchase Order Number Must Be Provided","")</f>
        <v>Purchase Order Number Must Be Provided</v>
      </c>
      <c r="N3" s="2"/>
      <c r="W3" s="1" t="s">
        <v>52</v>
      </c>
      <c r="X3" s="29" t="s">
        <v>46</v>
      </c>
    </row>
    <row r="4" spans="2:24" ht="15" customHeight="1" x14ac:dyDescent="0.25">
      <c r="K4" s="3"/>
      <c r="L4" s="3"/>
      <c r="M4" s="35" t="str">
        <f>IF(ORDER_BY="","Name Must Be Provided","")</f>
        <v>Name Must Be Provided</v>
      </c>
      <c r="N4" s="3"/>
      <c r="X4" s="29" t="s">
        <v>29</v>
      </c>
    </row>
    <row r="5" spans="2:24" ht="15" customHeight="1" x14ac:dyDescent="0.25">
      <c r="K5" s="3"/>
      <c r="L5" s="3"/>
      <c r="M5" s="35" t="str">
        <f>IF(PROJECTNUMBER="","Project Number Must Be Provided","")</f>
        <v/>
      </c>
      <c r="N5" s="3"/>
      <c r="X5" s="29" t="s">
        <v>48</v>
      </c>
    </row>
    <row r="6" spans="2:24" ht="14.25" customHeight="1" x14ac:dyDescent="0.25">
      <c r="F6" s="10" t="s">
        <v>0</v>
      </c>
      <c r="G6" s="55"/>
      <c r="H6" s="55"/>
      <c r="I6" s="55"/>
      <c r="K6" s="3"/>
      <c r="L6" s="3"/>
      <c r="M6" s="35" t="str">
        <f>IF(DATE="","Date Must Be Provided","")</f>
        <v>Date Must Be Provided</v>
      </c>
      <c r="N6" s="3"/>
      <c r="X6" s="29" t="s">
        <v>45</v>
      </c>
    </row>
    <row r="7" spans="2:24" ht="14.25" customHeight="1" x14ac:dyDescent="0.25">
      <c r="F7" s="10" t="s">
        <v>1</v>
      </c>
      <c r="G7" s="55"/>
      <c r="H7" s="55"/>
      <c r="I7" s="55"/>
      <c r="K7" s="3"/>
      <c r="L7" s="3"/>
      <c r="M7" s="35" t="str">
        <f>IF(SUM(AB17:AB27)=0,"","Line Item Errors. See Line")</f>
        <v/>
      </c>
      <c r="N7" s="3"/>
      <c r="X7" s="29" t="s">
        <v>32</v>
      </c>
    </row>
    <row r="8" spans="2:24" ht="14.25" customHeight="1" x14ac:dyDescent="0.25">
      <c r="B8" s="56" t="s">
        <v>5</v>
      </c>
      <c r="G8" s="5"/>
      <c r="H8" s="5"/>
      <c r="I8" s="5"/>
      <c r="K8" s="3"/>
      <c r="L8" s="3"/>
      <c r="M8" s="35" t="str">
        <f>IF(SUM(AC17:AC27)&lt;0,"Missing Categories on description","")</f>
        <v/>
      </c>
      <c r="N8" s="3"/>
      <c r="X8" s="29" t="s">
        <v>35</v>
      </c>
    </row>
    <row r="9" spans="2:24" ht="14.25" customHeight="1" x14ac:dyDescent="0.25">
      <c r="B9" s="56"/>
      <c r="C9" s="54"/>
      <c r="D9" s="54"/>
      <c r="F9" s="10" t="s">
        <v>7</v>
      </c>
      <c r="G9" s="55" t="s">
        <v>40</v>
      </c>
      <c r="H9" s="55"/>
      <c r="I9" s="55"/>
      <c r="K9" s="3"/>
      <c r="L9" s="3"/>
      <c r="M9" s="15"/>
      <c r="N9" s="3"/>
      <c r="X9" s="29" t="s">
        <v>31</v>
      </c>
    </row>
    <row r="10" spans="2:24" ht="14.25" customHeight="1" x14ac:dyDescent="0.25">
      <c r="B10" s="4"/>
      <c r="C10" s="5"/>
      <c r="D10" s="5"/>
      <c r="F10" s="10"/>
      <c r="G10" s="55" t="s">
        <v>41</v>
      </c>
      <c r="H10" s="55"/>
      <c r="I10" s="55"/>
      <c r="K10" s="3"/>
      <c r="L10" s="3"/>
      <c r="M10" s="3"/>
      <c r="N10" s="3"/>
      <c r="X10" s="29" t="s">
        <v>30</v>
      </c>
    </row>
    <row r="11" spans="2:24" ht="14.25" customHeight="1" x14ac:dyDescent="0.25">
      <c r="B11" s="10" t="s">
        <v>21</v>
      </c>
      <c r="C11" s="54"/>
      <c r="D11" s="54"/>
      <c r="F11" s="10"/>
      <c r="G11" s="55" t="s">
        <v>39</v>
      </c>
      <c r="H11" s="55"/>
      <c r="I11" s="55"/>
      <c r="K11" s="3"/>
      <c r="L11" s="3"/>
      <c r="M11" s="3"/>
      <c r="N11" s="3"/>
      <c r="X11" s="29" t="s">
        <v>47</v>
      </c>
    </row>
    <row r="12" spans="2:24" ht="14.25" customHeight="1" x14ac:dyDescent="0.25">
      <c r="C12" s="5"/>
      <c r="D12" s="5"/>
      <c r="G12" s="5"/>
      <c r="H12" s="5"/>
      <c r="I12" s="5"/>
      <c r="K12" s="3"/>
      <c r="L12" s="3"/>
      <c r="M12" s="3"/>
      <c r="N12" s="3"/>
      <c r="X12" s="29" t="s">
        <v>34</v>
      </c>
    </row>
    <row r="13" spans="2:24" ht="14.25" customHeight="1" x14ac:dyDescent="0.25">
      <c r="B13" s="10" t="s">
        <v>8</v>
      </c>
      <c r="C13" s="54" t="s">
        <v>53</v>
      </c>
      <c r="D13" s="54"/>
      <c r="F13" s="10" t="s">
        <v>6</v>
      </c>
      <c r="G13" s="57"/>
      <c r="H13" s="57"/>
      <c r="I13" s="57"/>
      <c r="K13" s="3"/>
      <c r="L13" s="3"/>
      <c r="M13" s="3"/>
      <c r="N13" s="3"/>
      <c r="X13" s="29"/>
    </row>
    <row r="14" spans="2:24" ht="14.25" customHeight="1" x14ac:dyDescent="0.25">
      <c r="B14" s="10" t="s">
        <v>20</v>
      </c>
      <c r="C14" s="54">
        <v>5470</v>
      </c>
      <c r="D14" s="54"/>
      <c r="F14" s="11" t="s">
        <v>42</v>
      </c>
      <c r="G14" s="57"/>
      <c r="H14" s="57"/>
      <c r="I14" s="57"/>
      <c r="K14" s="3"/>
      <c r="L14" s="3"/>
      <c r="M14" s="3"/>
      <c r="N14" s="3"/>
      <c r="X14" s="29"/>
    </row>
    <row r="15" spans="2:24" x14ac:dyDescent="0.25">
      <c r="K15" s="3"/>
      <c r="L15" s="3"/>
      <c r="M15" s="3"/>
      <c r="N15" s="3"/>
      <c r="X15" s="29"/>
    </row>
    <row r="16" spans="2:24" ht="21.6" customHeight="1" x14ac:dyDescent="0.25">
      <c r="B16" s="42" t="s">
        <v>2</v>
      </c>
      <c r="C16" s="43"/>
      <c r="D16" s="43"/>
      <c r="E16" s="44"/>
      <c r="F16" s="9" t="s">
        <v>3</v>
      </c>
      <c r="G16" s="9" t="s">
        <v>28</v>
      </c>
      <c r="H16" s="9" t="s">
        <v>4</v>
      </c>
      <c r="I16" s="9" t="s">
        <v>26</v>
      </c>
      <c r="K16" s="3"/>
      <c r="M16" s="9" t="s">
        <v>49</v>
      </c>
      <c r="N16" s="9" t="s">
        <v>37</v>
      </c>
      <c r="P16" s="9" t="s">
        <v>17</v>
      </c>
      <c r="Q16" s="9" t="s">
        <v>18</v>
      </c>
      <c r="R16" s="9" t="s">
        <v>19</v>
      </c>
      <c r="S16" s="9" t="s">
        <v>22</v>
      </c>
      <c r="T16" s="9" t="s">
        <v>23</v>
      </c>
      <c r="U16" s="9" t="s">
        <v>24</v>
      </c>
      <c r="V16" s="9" t="s">
        <v>25</v>
      </c>
      <c r="X16" s="29"/>
    </row>
    <row r="17" spans="2:29" ht="27" customHeight="1" x14ac:dyDescent="0.25">
      <c r="B17" s="45"/>
      <c r="C17" s="37"/>
      <c r="D17" s="37"/>
      <c r="E17" s="38"/>
      <c r="F17" s="17"/>
      <c r="G17" s="17"/>
      <c r="H17" s="19"/>
      <c r="I17" s="19">
        <f>QUANT1*UNIT1</f>
        <v>0</v>
      </c>
      <c r="K17" s="3"/>
      <c r="L17" s="35" t="str">
        <f>IF(Z17=1,"Missing Description",IF(AA17=1,"Missing Qty",""))</f>
        <v/>
      </c>
      <c r="M17" s="17" t="s">
        <v>52</v>
      </c>
      <c r="N17" s="6"/>
      <c r="P17" s="23"/>
      <c r="Q17" s="7"/>
      <c r="R17" s="7"/>
      <c r="S17" s="25"/>
      <c r="T17" s="25"/>
      <c r="U17" s="27"/>
      <c r="V17" s="7" t="str">
        <f>P17&amp;" "&amp;Q17&amp;" "&amp;R17&amp;" "&amp;S17&amp;U17&amp;" x "&amp;T17&amp;U17</f>
        <v xml:space="preserve">    x </v>
      </c>
      <c r="X17" s="29" t="str">
        <f>IF(STOCK1="Yes","yay"," ")</f>
        <v xml:space="preserve"> </v>
      </c>
      <c r="Z17" s="1">
        <f>IF(B17="",0,1)</f>
        <v>0</v>
      </c>
      <c r="AA17" s="1">
        <f>IF(F17="",0,1)</f>
        <v>0</v>
      </c>
      <c r="AB17" s="1">
        <f>ABS(Z17-AA17)</f>
        <v>0</v>
      </c>
      <c r="AC17" s="1">
        <f>IF(AB17&gt;0,IF(MATERIAL1="",-1,0),0)</f>
        <v>0</v>
      </c>
    </row>
    <row r="18" spans="2:29" ht="27" customHeight="1" x14ac:dyDescent="0.25">
      <c r="B18" s="39"/>
      <c r="C18" s="40"/>
      <c r="D18" s="40"/>
      <c r="E18" s="41"/>
      <c r="F18" s="18"/>
      <c r="G18" s="18"/>
      <c r="H18" s="20"/>
      <c r="I18" s="20">
        <f>QUANT2*UNIT2</f>
        <v>0</v>
      </c>
      <c r="K18" s="3"/>
      <c r="L18" s="35" t="str">
        <f t="shared" ref="L18:L27" si="0">IF(Z18=1,"Missing Description",IF(AA18=1,"Missing Qty",""))</f>
        <v/>
      </c>
      <c r="M18" s="18" t="s">
        <v>52</v>
      </c>
      <c r="N18" s="12"/>
      <c r="P18" s="24"/>
      <c r="Q18" s="13"/>
      <c r="R18" s="13"/>
      <c r="S18" s="26"/>
      <c r="T18" s="26"/>
      <c r="U18" s="28"/>
      <c r="V18" s="13" t="str">
        <f t="shared" ref="V18:V23" si="1">P18&amp;" "&amp;Q18&amp;" "&amp;R18&amp;" "&amp;S18&amp;U18&amp;" x "&amp;T18&amp;U18</f>
        <v xml:space="preserve">    x </v>
      </c>
      <c r="X18" s="29"/>
      <c r="Z18" s="1">
        <f t="shared" ref="Z18:Z27" si="2">IF(B18="",0,1)</f>
        <v>0</v>
      </c>
      <c r="AA18" s="1">
        <f t="shared" ref="AA18:AA27" si="3">IF(F18="",0,1)</f>
        <v>0</v>
      </c>
      <c r="AB18" s="1">
        <f t="shared" ref="AB18:AB27" si="4">ABS(Z18-AA18)</f>
        <v>0</v>
      </c>
      <c r="AC18" s="1">
        <f>IF(AB18&gt;0,IF(MATERIAL1="",-1,0),0)</f>
        <v>0</v>
      </c>
    </row>
    <row r="19" spans="2:29" ht="27" customHeight="1" x14ac:dyDescent="0.25">
      <c r="B19" s="36"/>
      <c r="C19" s="37"/>
      <c r="D19" s="37"/>
      <c r="E19" s="38"/>
      <c r="F19" s="17"/>
      <c r="G19" s="17"/>
      <c r="H19" s="19"/>
      <c r="I19" s="19">
        <f>QUANT3*UNIT3</f>
        <v>0</v>
      </c>
      <c r="K19" s="3"/>
      <c r="L19" s="35" t="str">
        <f t="shared" si="0"/>
        <v/>
      </c>
      <c r="M19" s="17" t="s">
        <v>52</v>
      </c>
      <c r="N19" s="6"/>
      <c r="P19" s="23"/>
      <c r="Q19" s="7"/>
      <c r="R19" s="7"/>
      <c r="S19" s="25"/>
      <c r="T19" s="25"/>
      <c r="U19" s="27"/>
      <c r="V19" s="7" t="str">
        <f t="shared" si="1"/>
        <v xml:space="preserve">    x </v>
      </c>
      <c r="X19" s="30"/>
      <c r="Z19" s="1">
        <f t="shared" si="2"/>
        <v>0</v>
      </c>
      <c r="AA19" s="1">
        <f t="shared" si="3"/>
        <v>0</v>
      </c>
      <c r="AB19" s="1">
        <f t="shared" si="4"/>
        <v>0</v>
      </c>
      <c r="AC19" s="1">
        <f>IF(AB19&gt;0,IF(MATERIAL1="",-1,0),0)</f>
        <v>0</v>
      </c>
    </row>
    <row r="20" spans="2:29" ht="27" customHeight="1" x14ac:dyDescent="0.25">
      <c r="B20" s="39"/>
      <c r="C20" s="40"/>
      <c r="D20" s="40"/>
      <c r="E20" s="41"/>
      <c r="F20" s="18"/>
      <c r="G20" s="18"/>
      <c r="H20" s="20"/>
      <c r="I20" s="20">
        <f>QUANT4*UNIT4</f>
        <v>0</v>
      </c>
      <c r="K20" s="3"/>
      <c r="L20" s="35" t="str">
        <f t="shared" si="0"/>
        <v/>
      </c>
      <c r="M20" s="18" t="s">
        <v>52</v>
      </c>
      <c r="N20" s="12"/>
      <c r="P20" s="24"/>
      <c r="Q20" s="13"/>
      <c r="R20" s="13"/>
      <c r="S20" s="26"/>
      <c r="T20" s="26"/>
      <c r="U20" s="28"/>
      <c r="V20" s="13" t="str">
        <f t="shared" si="1"/>
        <v xml:space="preserve">    x </v>
      </c>
      <c r="Z20" s="1">
        <f t="shared" si="2"/>
        <v>0</v>
      </c>
      <c r="AA20" s="1">
        <f t="shared" si="3"/>
        <v>0</v>
      </c>
      <c r="AB20" s="1">
        <f t="shared" si="4"/>
        <v>0</v>
      </c>
      <c r="AC20" s="1">
        <f>IF(AB20&gt;0,IF(MATERIAL1="",-1,0),0)</f>
        <v>0</v>
      </c>
    </row>
    <row r="21" spans="2:29" ht="27" customHeight="1" x14ac:dyDescent="0.25">
      <c r="B21" s="36"/>
      <c r="C21" s="37"/>
      <c r="D21" s="37"/>
      <c r="E21" s="38"/>
      <c r="F21" s="17"/>
      <c r="G21" s="17"/>
      <c r="H21" s="19"/>
      <c r="I21" s="19">
        <f>QUANT5*UNIT5</f>
        <v>0</v>
      </c>
      <c r="K21" s="3"/>
      <c r="L21" s="35" t="str">
        <f t="shared" si="0"/>
        <v/>
      </c>
      <c r="M21" s="17" t="s">
        <v>52</v>
      </c>
      <c r="N21" s="6"/>
      <c r="P21" s="23"/>
      <c r="Q21" s="7"/>
      <c r="R21" s="7"/>
      <c r="S21" s="25"/>
      <c r="T21" s="25"/>
      <c r="U21" s="27"/>
      <c r="V21" s="7" t="str">
        <f t="shared" si="1"/>
        <v xml:space="preserve">    x </v>
      </c>
      <c r="Z21" s="1">
        <f t="shared" si="2"/>
        <v>0</v>
      </c>
      <c r="AA21" s="1">
        <f t="shared" si="3"/>
        <v>0</v>
      </c>
      <c r="AB21" s="1">
        <f t="shared" si="4"/>
        <v>0</v>
      </c>
      <c r="AC21" s="1">
        <f>IF(AB21&gt;0,IF(MATERIAL1="",-1,0),0)</f>
        <v>0</v>
      </c>
    </row>
    <row r="22" spans="2:29" ht="27" customHeight="1" x14ac:dyDescent="0.25">
      <c r="B22" s="39"/>
      <c r="C22" s="40"/>
      <c r="D22" s="40"/>
      <c r="E22" s="41"/>
      <c r="F22" s="18"/>
      <c r="G22" s="18"/>
      <c r="H22" s="20"/>
      <c r="I22" s="20">
        <f>QUANT6*UNIT6</f>
        <v>0</v>
      </c>
      <c r="K22" s="3"/>
      <c r="L22" s="35" t="str">
        <f t="shared" si="0"/>
        <v/>
      </c>
      <c r="M22" s="18" t="s">
        <v>52</v>
      </c>
      <c r="N22" s="12"/>
      <c r="P22" s="24"/>
      <c r="Q22" s="13"/>
      <c r="R22" s="13"/>
      <c r="S22" s="26"/>
      <c r="T22" s="26"/>
      <c r="U22" s="28"/>
      <c r="V22" s="13" t="str">
        <f t="shared" si="1"/>
        <v xml:space="preserve">    x </v>
      </c>
      <c r="Z22" s="1">
        <f t="shared" si="2"/>
        <v>0</v>
      </c>
      <c r="AA22" s="1">
        <f t="shared" si="3"/>
        <v>0</v>
      </c>
      <c r="AB22" s="1">
        <f t="shared" si="4"/>
        <v>0</v>
      </c>
      <c r="AC22" s="1">
        <f>IF(AB22&gt;0,IF(MATERIAL1="",-1,0),0)</f>
        <v>0</v>
      </c>
    </row>
    <row r="23" spans="2:29" ht="27" customHeight="1" x14ac:dyDescent="0.25">
      <c r="B23" s="36"/>
      <c r="C23" s="37"/>
      <c r="D23" s="37"/>
      <c r="E23" s="38"/>
      <c r="F23" s="17"/>
      <c r="G23" s="17"/>
      <c r="H23" s="19"/>
      <c r="I23" s="19">
        <f>QUANT7*UNIT7</f>
        <v>0</v>
      </c>
      <c r="K23" s="3"/>
      <c r="L23" s="35" t="str">
        <f t="shared" si="0"/>
        <v/>
      </c>
      <c r="M23" s="17" t="s">
        <v>52</v>
      </c>
      <c r="N23" s="6"/>
      <c r="P23" s="23"/>
      <c r="Q23" s="7"/>
      <c r="R23" s="7"/>
      <c r="S23" s="25"/>
      <c r="T23" s="25"/>
      <c r="U23" s="27"/>
      <c r="V23" s="7" t="str">
        <f t="shared" si="1"/>
        <v xml:space="preserve">    x </v>
      </c>
      <c r="Z23" s="1">
        <f t="shared" si="2"/>
        <v>0</v>
      </c>
      <c r="AA23" s="1">
        <f t="shared" si="3"/>
        <v>0</v>
      </c>
      <c r="AB23" s="1">
        <f t="shared" si="4"/>
        <v>0</v>
      </c>
      <c r="AC23" s="1">
        <f>IF(AB23&gt;0,IF(MATERIAL1="",-1,0),0)</f>
        <v>0</v>
      </c>
    </row>
    <row r="24" spans="2:29" ht="27" customHeight="1" x14ac:dyDescent="0.25">
      <c r="B24" s="39"/>
      <c r="C24" s="40"/>
      <c r="D24" s="40"/>
      <c r="E24" s="41"/>
      <c r="F24" s="18"/>
      <c r="G24" s="18"/>
      <c r="H24" s="20"/>
      <c r="I24" s="20">
        <f>QUANT8*UNIT8</f>
        <v>0</v>
      </c>
      <c r="K24" s="3"/>
      <c r="L24" s="35" t="str">
        <f t="shared" si="0"/>
        <v/>
      </c>
      <c r="M24" s="18" t="s">
        <v>52</v>
      </c>
      <c r="N24" s="12"/>
      <c r="P24" s="24"/>
      <c r="Q24" s="13"/>
      <c r="R24" s="13"/>
      <c r="S24" s="26"/>
      <c r="T24" s="26"/>
      <c r="U24" s="28"/>
      <c r="V24" s="13" t="str">
        <f t="shared" ref="V24:V27" si="5">P24&amp;" "&amp;Q24&amp;" "&amp;R24&amp;" "&amp;S24&amp;U24&amp;" x "&amp;T24&amp;U24</f>
        <v xml:space="preserve">    x </v>
      </c>
      <c r="W24" s="3"/>
      <c r="Z24" s="1">
        <f t="shared" si="2"/>
        <v>0</v>
      </c>
      <c r="AA24" s="1">
        <f t="shared" si="3"/>
        <v>0</v>
      </c>
      <c r="AB24" s="1">
        <f t="shared" si="4"/>
        <v>0</v>
      </c>
      <c r="AC24" s="1">
        <f>IF(AB24&gt;0,IF(MATERIAL1="",-1,0),0)</f>
        <v>0</v>
      </c>
    </row>
    <row r="25" spans="2:29" ht="27" customHeight="1" x14ac:dyDescent="0.25">
      <c r="B25" s="36"/>
      <c r="C25" s="37"/>
      <c r="D25" s="37"/>
      <c r="E25" s="38"/>
      <c r="F25" s="17"/>
      <c r="G25" s="17"/>
      <c r="H25" s="19"/>
      <c r="I25" s="19">
        <f>QUANT9*UNIT9</f>
        <v>0</v>
      </c>
      <c r="K25" s="3"/>
      <c r="L25" s="35" t="str">
        <f t="shared" si="0"/>
        <v/>
      </c>
      <c r="M25" s="17" t="s">
        <v>52</v>
      </c>
      <c r="N25" s="6"/>
      <c r="P25" s="23"/>
      <c r="Q25" s="7"/>
      <c r="R25" s="7"/>
      <c r="S25" s="25"/>
      <c r="T25" s="25"/>
      <c r="U25" s="27"/>
      <c r="V25" s="7" t="str">
        <f t="shared" si="5"/>
        <v xml:space="preserve">    x </v>
      </c>
      <c r="W25" s="3"/>
      <c r="Z25" s="1">
        <f t="shared" si="2"/>
        <v>0</v>
      </c>
      <c r="AA25" s="1">
        <f t="shared" si="3"/>
        <v>0</v>
      </c>
      <c r="AB25" s="1">
        <f t="shared" si="4"/>
        <v>0</v>
      </c>
      <c r="AC25" s="1">
        <f>IF(AB25&gt;0,IF(MATERIAL1="",-1,0),0)</f>
        <v>0</v>
      </c>
    </row>
    <row r="26" spans="2:29" ht="27" customHeight="1" x14ac:dyDescent="0.25">
      <c r="B26" s="39"/>
      <c r="C26" s="40"/>
      <c r="D26" s="40"/>
      <c r="E26" s="41"/>
      <c r="F26" s="18"/>
      <c r="G26" s="18"/>
      <c r="H26" s="20"/>
      <c r="I26" s="20">
        <f>QUANT10*UNIT10</f>
        <v>0</v>
      </c>
      <c r="K26" s="3"/>
      <c r="L26" s="35" t="str">
        <f t="shared" si="0"/>
        <v/>
      </c>
      <c r="M26" s="18" t="s">
        <v>52</v>
      </c>
      <c r="N26" s="12"/>
      <c r="P26" s="24"/>
      <c r="Q26" s="13"/>
      <c r="R26" s="13"/>
      <c r="S26" s="26"/>
      <c r="T26" s="26"/>
      <c r="U26" s="28"/>
      <c r="V26" s="13" t="str">
        <f t="shared" si="5"/>
        <v xml:space="preserve">    x </v>
      </c>
      <c r="W26" s="3"/>
      <c r="Z26" s="1">
        <f t="shared" si="2"/>
        <v>0</v>
      </c>
      <c r="AA26" s="1">
        <f t="shared" si="3"/>
        <v>0</v>
      </c>
      <c r="AB26" s="1">
        <f t="shared" si="4"/>
        <v>0</v>
      </c>
      <c r="AC26" s="1">
        <f>IF(AB26&gt;0,IF(MATERIAL1="",-1,0),0)</f>
        <v>0</v>
      </c>
    </row>
    <row r="27" spans="2:29" ht="27" customHeight="1" x14ac:dyDescent="0.25">
      <c r="B27" s="36"/>
      <c r="C27" s="37"/>
      <c r="D27" s="37"/>
      <c r="E27" s="38"/>
      <c r="F27" s="17"/>
      <c r="G27" s="17"/>
      <c r="H27" s="19"/>
      <c r="I27" s="19">
        <f>QUANT11*UNIT11</f>
        <v>0</v>
      </c>
      <c r="K27" s="3"/>
      <c r="L27" s="35" t="str">
        <f t="shared" si="0"/>
        <v/>
      </c>
      <c r="M27" s="17" t="s">
        <v>52</v>
      </c>
      <c r="N27" s="6"/>
      <c r="P27" s="23"/>
      <c r="Q27" s="7"/>
      <c r="R27" s="7"/>
      <c r="S27" s="25"/>
      <c r="T27" s="25"/>
      <c r="U27" s="27"/>
      <c r="V27" s="7" t="str">
        <f t="shared" si="5"/>
        <v xml:space="preserve">    x </v>
      </c>
      <c r="W27" s="3"/>
      <c r="Z27" s="1">
        <f t="shared" si="2"/>
        <v>0</v>
      </c>
      <c r="AA27" s="1">
        <f t="shared" si="3"/>
        <v>0</v>
      </c>
      <c r="AB27" s="1">
        <f t="shared" si="4"/>
        <v>0</v>
      </c>
      <c r="AC27" s="1">
        <f>IF(AB27&gt;0,IF(MATERIAL1="",-1,0),0)</f>
        <v>0</v>
      </c>
    </row>
    <row r="28" spans="2:29" ht="27" customHeight="1" x14ac:dyDescent="0.25">
      <c r="B28" s="22"/>
      <c r="C28" s="22"/>
      <c r="D28" s="22"/>
      <c r="E28" s="22"/>
      <c r="F28" s="22"/>
      <c r="G28" s="22"/>
      <c r="H28" s="14" t="s">
        <v>9</v>
      </c>
      <c r="I28" s="21">
        <f>SUM(I17:I23)</f>
        <v>0</v>
      </c>
      <c r="K28" s="3"/>
      <c r="L28"/>
      <c r="O28"/>
    </row>
    <row r="29" spans="2:29" ht="13.5" customHeight="1" x14ac:dyDescent="0.25">
      <c r="B29" s="1" t="s">
        <v>27</v>
      </c>
      <c r="K29" s="3"/>
      <c r="L29" s="3"/>
    </row>
    <row r="30" spans="2:29" ht="41.25" customHeight="1" x14ac:dyDescent="0.25">
      <c r="B30" s="51"/>
      <c r="C30" s="52"/>
      <c r="D30" s="52"/>
      <c r="E30" s="52"/>
      <c r="F30" s="52"/>
      <c r="G30" s="52"/>
      <c r="H30" s="52"/>
      <c r="I30" s="53"/>
      <c r="K30" s="3"/>
      <c r="L30" s="3"/>
      <c r="M30" s="3"/>
      <c r="N30" s="3"/>
    </row>
    <row r="31" spans="2:29" ht="12.75" customHeight="1" x14ac:dyDescent="0.25">
      <c r="K31" s="3"/>
      <c r="L31" s="3"/>
      <c r="M31" s="3"/>
      <c r="N31" s="3"/>
    </row>
    <row r="32" spans="2:29" ht="26.25" customHeight="1" x14ac:dyDescent="0.25">
      <c r="B32" s="50" t="s">
        <v>10</v>
      </c>
      <c r="C32" s="50"/>
      <c r="D32" s="50"/>
      <c r="E32" s="50"/>
      <c r="F32" s="50"/>
      <c r="G32" s="50"/>
      <c r="H32" s="50"/>
      <c r="I32" s="50"/>
      <c r="K32" s="3"/>
      <c r="L32" s="3"/>
      <c r="M32" s="3"/>
      <c r="N32" s="3"/>
    </row>
    <row r="33" spans="1:20" ht="12.75" customHeight="1" x14ac:dyDescent="0.25">
      <c r="K33" s="3"/>
      <c r="L33" s="3"/>
      <c r="M33" s="3"/>
      <c r="N33" s="3"/>
    </row>
    <row r="34" spans="1:20" ht="14.25" customHeight="1" x14ac:dyDescent="0.25">
      <c r="F34" s="5" t="s">
        <v>11</v>
      </c>
      <c r="G34" s="5"/>
      <c r="H34" s="5"/>
      <c r="I34" s="5"/>
      <c r="K34" s="3"/>
      <c r="L34" s="3"/>
      <c r="M34" s="3"/>
      <c r="N34" s="3"/>
    </row>
    <row r="35" spans="1:20" ht="14.25" customHeight="1" x14ac:dyDescent="0.25">
      <c r="F35" s="5" t="s">
        <v>12</v>
      </c>
      <c r="G35" s="5"/>
      <c r="H35" s="5"/>
      <c r="I35" s="5"/>
      <c r="K35" s="3"/>
      <c r="L35" s="3"/>
      <c r="M35" s="3"/>
      <c r="N35" s="3"/>
    </row>
    <row r="36" spans="1:20" ht="18" customHeight="1" x14ac:dyDescent="0.25">
      <c r="K36" s="3"/>
      <c r="L36" s="3"/>
      <c r="M36" s="3"/>
      <c r="N36" s="3"/>
    </row>
    <row r="37" spans="1:20" ht="15" customHeight="1" x14ac:dyDescent="0.25">
      <c r="D37" s="8" t="s">
        <v>13</v>
      </c>
      <c r="E37" s="8"/>
      <c r="F37" s="49"/>
      <c r="G37" s="49"/>
      <c r="H37" s="49"/>
      <c r="I37" s="33" t="s">
        <v>43</v>
      </c>
      <c r="K37" s="3"/>
      <c r="L37" s="48"/>
      <c r="M37" s="48"/>
      <c r="N37" s="48"/>
      <c r="O37" s="48"/>
      <c r="P37" s="48"/>
      <c r="Q37" s="48"/>
      <c r="R37" s="48"/>
      <c r="S37" s="48"/>
      <c r="T37" s="48"/>
    </row>
    <row r="38" spans="1:20" ht="14.25" customHeight="1" x14ac:dyDescent="0.25">
      <c r="F38" s="16"/>
      <c r="G38" s="16"/>
      <c r="H38" s="16"/>
      <c r="I38" s="32"/>
      <c r="K38" s="3"/>
      <c r="L38" s="48"/>
      <c r="M38" s="48"/>
      <c r="N38" s="48"/>
      <c r="O38" s="48"/>
      <c r="P38" s="48"/>
      <c r="Q38" s="48"/>
      <c r="R38" s="48"/>
      <c r="S38" s="48"/>
      <c r="T38" s="48"/>
    </row>
    <row r="39" spans="1:20" ht="17.25" customHeight="1" x14ac:dyDescent="0.25">
      <c r="D39" s="8" t="s">
        <v>14</v>
      </c>
      <c r="E39" s="8"/>
      <c r="F39" s="49"/>
      <c r="G39" s="49"/>
      <c r="H39" s="49"/>
      <c r="I39" s="33" t="s">
        <v>44</v>
      </c>
      <c r="K39" s="3"/>
      <c r="L39" s="48"/>
      <c r="M39" s="48"/>
      <c r="N39" s="48"/>
      <c r="O39" s="48"/>
      <c r="P39" s="48"/>
      <c r="Q39" s="48"/>
      <c r="R39" s="48"/>
      <c r="S39" s="48"/>
      <c r="T39" s="48"/>
    </row>
    <row r="40" spans="1:20" ht="15" customHeight="1" x14ac:dyDescent="0.25">
      <c r="F40" s="16"/>
      <c r="G40" s="16"/>
      <c r="H40" s="16"/>
      <c r="I40" s="16"/>
      <c r="K40" s="3"/>
      <c r="L40" s="3"/>
      <c r="M40" s="3"/>
      <c r="N40" s="3"/>
    </row>
    <row r="41" spans="1:20" ht="33" customHeight="1" x14ac:dyDescent="0.25">
      <c r="A41" s="46" t="s">
        <v>15</v>
      </c>
      <c r="B41" s="46"/>
      <c r="C41" s="46"/>
      <c r="D41" s="46"/>
      <c r="E41" s="46"/>
      <c r="F41" s="46"/>
      <c r="G41" s="46"/>
      <c r="H41" s="46"/>
      <c r="I41" s="46"/>
      <c r="J41" s="46"/>
      <c r="K41" s="46"/>
      <c r="L41" s="3"/>
      <c r="M41" s="3"/>
      <c r="N41" s="3"/>
    </row>
    <row r="42" spans="1:20" ht="23.25" customHeight="1" x14ac:dyDescent="0.25">
      <c r="A42" s="47" t="s">
        <v>16</v>
      </c>
      <c r="B42" s="47"/>
      <c r="C42" s="47"/>
      <c r="D42" s="47"/>
      <c r="E42" s="47"/>
      <c r="F42" s="47"/>
      <c r="G42" s="47"/>
      <c r="H42" s="47"/>
      <c r="I42" s="47"/>
      <c r="J42" s="47"/>
      <c r="K42" s="47"/>
    </row>
    <row r="43" spans="1:20" ht="15" customHeight="1" x14ac:dyDescent="0.25">
      <c r="A43" s="47"/>
      <c r="B43" s="47"/>
      <c r="C43" s="47"/>
      <c r="D43" s="47"/>
      <c r="E43" s="47"/>
      <c r="F43" s="47"/>
      <c r="G43" s="47"/>
      <c r="H43" s="47"/>
      <c r="I43" s="47"/>
      <c r="J43" s="47"/>
      <c r="K43" s="47"/>
    </row>
    <row r="44" spans="1:20" x14ac:dyDescent="0.25">
      <c r="A44" s="47"/>
      <c r="B44" s="47"/>
      <c r="C44" s="47"/>
      <c r="D44" s="47"/>
      <c r="E44" s="47"/>
      <c r="F44" s="47"/>
      <c r="G44" s="47"/>
      <c r="H44" s="47"/>
      <c r="I44" s="47"/>
      <c r="J44" s="47"/>
      <c r="K44" s="47"/>
    </row>
    <row r="45" spans="1:20" x14ac:dyDescent="0.25">
      <c r="A45" s="47"/>
      <c r="B45" s="47"/>
      <c r="C45" s="47"/>
      <c r="D45" s="47"/>
      <c r="E45" s="47"/>
      <c r="F45" s="47"/>
      <c r="G45" s="47"/>
      <c r="H45" s="47"/>
      <c r="I45" s="47"/>
      <c r="J45" s="47"/>
      <c r="K45" s="47"/>
    </row>
    <row r="46" spans="1:20" x14ac:dyDescent="0.25">
      <c r="A46" s="47"/>
      <c r="B46" s="47"/>
      <c r="C46" s="47"/>
      <c r="D46" s="47"/>
      <c r="E46" s="47"/>
      <c r="F46" s="47"/>
      <c r="G46" s="47"/>
      <c r="H46" s="47"/>
      <c r="I46" s="47"/>
      <c r="J46" s="47"/>
      <c r="K46" s="47"/>
    </row>
    <row r="47" spans="1:20" x14ac:dyDescent="0.25">
      <c r="A47" s="47"/>
      <c r="B47" s="47"/>
      <c r="C47" s="47"/>
      <c r="D47" s="47"/>
      <c r="E47" s="47"/>
      <c r="F47" s="47"/>
      <c r="G47" s="47"/>
      <c r="H47" s="47"/>
      <c r="I47" s="47"/>
      <c r="J47" s="47"/>
      <c r="K47" s="47"/>
    </row>
    <row r="48" spans="1:20" x14ac:dyDescent="0.25">
      <c r="A48" s="47"/>
      <c r="B48" s="47"/>
      <c r="C48" s="47"/>
      <c r="D48" s="47"/>
      <c r="E48" s="47"/>
      <c r="F48" s="47"/>
      <c r="G48" s="47"/>
      <c r="H48" s="47"/>
      <c r="I48" s="47"/>
      <c r="J48" s="47"/>
      <c r="K48" s="47"/>
    </row>
    <row r="49" spans="1:11" x14ac:dyDescent="0.25">
      <c r="A49" s="47"/>
      <c r="B49" s="47"/>
      <c r="C49" s="47"/>
      <c r="D49" s="47"/>
      <c r="E49" s="47"/>
      <c r="F49" s="47"/>
      <c r="G49" s="47"/>
      <c r="H49" s="47"/>
      <c r="I49" s="47"/>
      <c r="J49" s="47"/>
      <c r="K49" s="47"/>
    </row>
    <row r="50" spans="1:11" x14ac:dyDescent="0.25">
      <c r="A50" s="47"/>
      <c r="B50" s="47"/>
      <c r="C50" s="47"/>
      <c r="D50" s="47"/>
      <c r="E50" s="47"/>
      <c r="F50" s="47"/>
      <c r="G50" s="47"/>
      <c r="H50" s="47"/>
      <c r="I50" s="47"/>
      <c r="J50" s="47"/>
      <c r="K50" s="47"/>
    </row>
    <row r="51" spans="1:11" x14ac:dyDescent="0.25">
      <c r="A51" s="47"/>
      <c r="B51" s="47"/>
      <c r="C51" s="47"/>
      <c r="D51" s="47"/>
      <c r="E51" s="47"/>
      <c r="F51" s="47"/>
      <c r="G51" s="47"/>
      <c r="H51" s="47"/>
      <c r="I51" s="47"/>
      <c r="J51" s="47"/>
      <c r="K51" s="47"/>
    </row>
    <row r="52" spans="1:11" x14ac:dyDescent="0.25">
      <c r="A52" s="47"/>
      <c r="B52" s="47"/>
      <c r="C52" s="47"/>
      <c r="D52" s="47"/>
      <c r="E52" s="47"/>
      <c r="F52" s="47"/>
      <c r="G52" s="47"/>
      <c r="H52" s="47"/>
      <c r="I52" s="47"/>
      <c r="J52" s="47"/>
      <c r="K52" s="47"/>
    </row>
    <row r="53" spans="1:11" x14ac:dyDescent="0.25">
      <c r="A53" s="47"/>
      <c r="B53" s="47"/>
      <c r="C53" s="47"/>
      <c r="D53" s="47"/>
      <c r="E53" s="47"/>
      <c r="F53" s="47"/>
      <c r="G53" s="47"/>
      <c r="H53" s="47"/>
      <c r="I53" s="47"/>
      <c r="J53" s="47"/>
      <c r="K53" s="47"/>
    </row>
    <row r="54" spans="1:11" x14ac:dyDescent="0.25">
      <c r="A54" s="47"/>
      <c r="B54" s="47"/>
      <c r="C54" s="47"/>
      <c r="D54" s="47"/>
      <c r="E54" s="47"/>
      <c r="F54" s="47"/>
      <c r="G54" s="47"/>
      <c r="H54" s="47"/>
      <c r="I54" s="47"/>
      <c r="J54" s="47"/>
      <c r="K54" s="47"/>
    </row>
    <row r="55" spans="1:11" x14ac:dyDescent="0.25">
      <c r="A55" s="47"/>
      <c r="B55" s="47"/>
      <c r="C55" s="47"/>
      <c r="D55" s="47"/>
      <c r="E55" s="47"/>
      <c r="F55" s="47"/>
      <c r="G55" s="47"/>
      <c r="H55" s="47"/>
      <c r="I55" s="47"/>
      <c r="J55" s="47"/>
      <c r="K55" s="47"/>
    </row>
    <row r="56" spans="1:11" x14ac:dyDescent="0.25">
      <c r="A56" s="47"/>
      <c r="B56" s="47"/>
      <c r="C56" s="47"/>
      <c r="D56" s="47"/>
      <c r="E56" s="47"/>
      <c r="F56" s="47"/>
      <c r="G56" s="47"/>
      <c r="H56" s="47"/>
      <c r="I56" s="47"/>
      <c r="J56" s="47"/>
      <c r="K56" s="47"/>
    </row>
    <row r="57" spans="1:11" x14ac:dyDescent="0.25">
      <c r="A57" s="47"/>
      <c r="B57" s="47"/>
      <c r="C57" s="47"/>
      <c r="D57" s="47"/>
      <c r="E57" s="47"/>
      <c r="F57" s="47"/>
      <c r="G57" s="47"/>
      <c r="H57" s="47"/>
      <c r="I57" s="47"/>
      <c r="J57" s="47"/>
      <c r="K57" s="47"/>
    </row>
    <row r="58" spans="1:11" x14ac:dyDescent="0.25">
      <c r="A58" s="47"/>
      <c r="B58" s="47"/>
      <c r="C58" s="47"/>
      <c r="D58" s="47"/>
      <c r="E58" s="47"/>
      <c r="F58" s="47"/>
      <c r="G58" s="47"/>
      <c r="H58" s="47"/>
      <c r="I58" s="47"/>
      <c r="J58" s="47"/>
      <c r="K58" s="47"/>
    </row>
    <row r="59" spans="1:11" x14ac:dyDescent="0.25">
      <c r="A59" s="47"/>
      <c r="B59" s="47"/>
      <c r="C59" s="47"/>
      <c r="D59" s="47"/>
      <c r="E59" s="47"/>
      <c r="F59" s="47"/>
      <c r="G59" s="47"/>
      <c r="H59" s="47"/>
      <c r="I59" s="47"/>
      <c r="J59" s="47"/>
      <c r="K59" s="47"/>
    </row>
    <row r="60" spans="1:11" x14ac:dyDescent="0.25">
      <c r="A60" s="47"/>
      <c r="B60" s="47"/>
      <c r="C60" s="47"/>
      <c r="D60" s="47"/>
      <c r="E60" s="47"/>
      <c r="F60" s="47"/>
      <c r="G60" s="47"/>
      <c r="H60" s="47"/>
      <c r="I60" s="47"/>
      <c r="J60" s="47"/>
      <c r="K60" s="47"/>
    </row>
    <row r="61" spans="1:11" x14ac:dyDescent="0.25">
      <c r="A61" s="47"/>
      <c r="B61" s="47"/>
      <c r="C61" s="47"/>
      <c r="D61" s="47"/>
      <c r="E61" s="47"/>
      <c r="F61" s="47"/>
      <c r="G61" s="47"/>
      <c r="H61" s="47"/>
      <c r="I61" s="47"/>
      <c r="J61" s="47"/>
      <c r="K61" s="47"/>
    </row>
    <row r="62" spans="1:11" x14ac:dyDescent="0.25">
      <c r="A62" s="47"/>
      <c r="B62" s="47"/>
      <c r="C62" s="47"/>
      <c r="D62" s="47"/>
      <c r="E62" s="47"/>
      <c r="F62" s="47"/>
      <c r="G62" s="47"/>
      <c r="H62" s="47"/>
      <c r="I62" s="47"/>
      <c r="J62" s="47"/>
      <c r="K62" s="47"/>
    </row>
    <row r="63" spans="1:11" x14ac:dyDescent="0.25">
      <c r="A63" s="47"/>
      <c r="B63" s="47"/>
      <c r="C63" s="47"/>
      <c r="D63" s="47"/>
      <c r="E63" s="47"/>
      <c r="F63" s="47"/>
      <c r="G63" s="47"/>
      <c r="H63" s="47"/>
      <c r="I63" s="47"/>
      <c r="J63" s="47"/>
      <c r="K63" s="47"/>
    </row>
    <row r="64" spans="1:11" x14ac:dyDescent="0.25">
      <c r="A64" s="47"/>
      <c r="B64" s="47"/>
      <c r="C64" s="47"/>
      <c r="D64" s="47"/>
      <c r="E64" s="47"/>
      <c r="F64" s="47"/>
      <c r="G64" s="47"/>
      <c r="H64" s="47"/>
      <c r="I64" s="47"/>
      <c r="J64" s="47"/>
      <c r="K64" s="47"/>
    </row>
    <row r="65" spans="1:11" x14ac:dyDescent="0.25">
      <c r="A65" s="47"/>
      <c r="B65" s="47"/>
      <c r="C65" s="47"/>
      <c r="D65" s="47"/>
      <c r="E65" s="47"/>
      <c r="F65" s="47"/>
      <c r="G65" s="47"/>
      <c r="H65" s="47"/>
      <c r="I65" s="47"/>
      <c r="J65" s="47"/>
      <c r="K65" s="47"/>
    </row>
    <row r="66" spans="1:11" x14ac:dyDescent="0.25">
      <c r="A66" s="47"/>
      <c r="B66" s="47"/>
      <c r="C66" s="47"/>
      <c r="D66" s="47"/>
      <c r="E66" s="47"/>
      <c r="F66" s="47"/>
      <c r="G66" s="47"/>
      <c r="H66" s="47"/>
      <c r="I66" s="47"/>
      <c r="J66" s="47"/>
      <c r="K66" s="47"/>
    </row>
    <row r="67" spans="1:11" x14ac:dyDescent="0.25">
      <c r="A67" s="47"/>
      <c r="B67" s="47"/>
      <c r="C67" s="47"/>
      <c r="D67" s="47"/>
      <c r="E67" s="47"/>
      <c r="F67" s="47"/>
      <c r="G67" s="47"/>
      <c r="H67" s="47"/>
      <c r="I67" s="47"/>
      <c r="J67" s="47"/>
      <c r="K67" s="47"/>
    </row>
    <row r="68" spans="1:11" x14ac:dyDescent="0.25">
      <c r="A68" s="47"/>
      <c r="B68" s="47"/>
      <c r="C68" s="47"/>
      <c r="D68" s="47"/>
      <c r="E68" s="47"/>
      <c r="F68" s="47"/>
      <c r="G68" s="47"/>
      <c r="H68" s="47"/>
      <c r="I68" s="47"/>
      <c r="J68" s="47"/>
      <c r="K68" s="47"/>
    </row>
    <row r="69" spans="1:11" x14ac:dyDescent="0.25">
      <c r="A69" s="47"/>
      <c r="B69" s="47"/>
      <c r="C69" s="47"/>
      <c r="D69" s="47"/>
      <c r="E69" s="47"/>
      <c r="F69" s="47"/>
      <c r="G69" s="47"/>
      <c r="H69" s="47"/>
      <c r="I69" s="47"/>
      <c r="J69" s="47"/>
      <c r="K69" s="47"/>
    </row>
    <row r="70" spans="1:11" x14ac:dyDescent="0.25">
      <c r="A70" s="47"/>
      <c r="B70" s="47"/>
      <c r="C70" s="47"/>
      <c r="D70" s="47"/>
      <c r="E70" s="47"/>
      <c r="F70" s="47"/>
      <c r="G70" s="47"/>
      <c r="H70" s="47"/>
      <c r="I70" s="47"/>
      <c r="J70" s="47"/>
      <c r="K70" s="47"/>
    </row>
    <row r="71" spans="1:11" x14ac:dyDescent="0.25">
      <c r="A71" s="47"/>
      <c r="B71" s="47"/>
      <c r="C71" s="47"/>
      <c r="D71" s="47"/>
      <c r="E71" s="47"/>
      <c r="F71" s="47"/>
      <c r="G71" s="47"/>
      <c r="H71" s="47"/>
      <c r="I71" s="47"/>
      <c r="J71" s="47"/>
      <c r="K71" s="47"/>
    </row>
    <row r="72" spans="1:11" x14ac:dyDescent="0.25">
      <c r="A72" s="47"/>
      <c r="B72" s="47"/>
      <c r="C72" s="47"/>
      <c r="D72" s="47"/>
      <c r="E72" s="47"/>
      <c r="F72" s="47"/>
      <c r="G72" s="47"/>
      <c r="H72" s="47"/>
      <c r="I72" s="47"/>
      <c r="J72" s="47"/>
      <c r="K72" s="47"/>
    </row>
    <row r="73" spans="1:11" x14ac:dyDescent="0.25">
      <c r="A73" s="47"/>
      <c r="B73" s="47"/>
      <c r="C73" s="47"/>
      <c r="D73" s="47"/>
      <c r="E73" s="47"/>
      <c r="F73" s="47"/>
      <c r="G73" s="47"/>
      <c r="H73" s="47"/>
      <c r="I73" s="47"/>
      <c r="J73" s="47"/>
      <c r="K73" s="47"/>
    </row>
    <row r="74" spans="1:11" x14ac:dyDescent="0.25">
      <c r="A74" s="47"/>
      <c r="B74" s="47"/>
      <c r="C74" s="47"/>
      <c r="D74" s="47"/>
      <c r="E74" s="47"/>
      <c r="F74" s="47"/>
      <c r="G74" s="47"/>
      <c r="H74" s="47"/>
      <c r="I74" s="47"/>
      <c r="J74" s="47"/>
      <c r="K74" s="47"/>
    </row>
    <row r="75" spans="1:11" x14ac:dyDescent="0.25">
      <c r="A75" s="47"/>
      <c r="B75" s="47"/>
      <c r="C75" s="47"/>
      <c r="D75" s="47"/>
      <c r="E75" s="47"/>
      <c r="F75" s="47"/>
      <c r="G75" s="47"/>
      <c r="H75" s="47"/>
      <c r="I75" s="47"/>
      <c r="J75" s="47"/>
      <c r="K75" s="47"/>
    </row>
    <row r="76" spans="1:11" x14ac:dyDescent="0.25">
      <c r="A76" s="47"/>
      <c r="B76" s="47"/>
      <c r="C76" s="47"/>
      <c r="D76" s="47"/>
      <c r="E76" s="47"/>
      <c r="F76" s="47"/>
      <c r="G76" s="47"/>
      <c r="H76" s="47"/>
      <c r="I76" s="47"/>
      <c r="J76" s="47"/>
      <c r="K76" s="47"/>
    </row>
    <row r="77" spans="1:11" x14ac:dyDescent="0.25">
      <c r="A77" s="47"/>
      <c r="B77" s="47"/>
      <c r="C77" s="47"/>
      <c r="D77" s="47"/>
      <c r="E77" s="47"/>
      <c r="F77" s="47"/>
      <c r="G77" s="47"/>
      <c r="H77" s="47"/>
      <c r="I77" s="47"/>
      <c r="J77" s="47"/>
      <c r="K77" s="47"/>
    </row>
    <row r="78" spans="1:11" x14ac:dyDescent="0.25">
      <c r="A78" s="47"/>
      <c r="B78" s="47"/>
      <c r="C78" s="47"/>
      <c r="D78" s="47"/>
      <c r="E78" s="47"/>
      <c r="F78" s="47"/>
      <c r="G78" s="47"/>
      <c r="H78" s="47"/>
      <c r="I78" s="47"/>
      <c r="J78" s="47"/>
      <c r="K78" s="47"/>
    </row>
    <row r="79" spans="1:11" x14ac:dyDescent="0.25">
      <c r="A79" s="47"/>
      <c r="B79" s="47"/>
      <c r="C79" s="47"/>
      <c r="D79" s="47"/>
      <c r="E79" s="47"/>
      <c r="F79" s="47"/>
      <c r="G79" s="47"/>
      <c r="H79" s="47"/>
      <c r="I79" s="47"/>
      <c r="J79" s="47"/>
      <c r="K79" s="47"/>
    </row>
    <row r="80" spans="1:11" x14ac:dyDescent="0.25">
      <c r="A80" s="47"/>
      <c r="B80" s="47"/>
      <c r="C80" s="47"/>
      <c r="D80" s="47"/>
      <c r="E80" s="47"/>
      <c r="F80" s="47"/>
      <c r="G80" s="47"/>
      <c r="H80" s="47"/>
      <c r="I80" s="47"/>
      <c r="J80" s="47"/>
      <c r="K80" s="47"/>
    </row>
    <row r="81" spans="1:11" x14ac:dyDescent="0.25">
      <c r="A81" s="47"/>
      <c r="B81" s="47"/>
      <c r="C81" s="47"/>
      <c r="D81" s="47"/>
      <c r="E81" s="47"/>
      <c r="F81" s="47"/>
      <c r="G81" s="47"/>
      <c r="H81" s="47"/>
      <c r="I81" s="47"/>
      <c r="J81" s="47"/>
      <c r="K81" s="47"/>
    </row>
    <row r="82" spans="1:11" x14ac:dyDescent="0.25">
      <c r="A82" s="47"/>
      <c r="B82" s="47"/>
      <c r="C82" s="47"/>
      <c r="D82" s="47"/>
      <c r="E82" s="47"/>
      <c r="F82" s="47"/>
      <c r="G82" s="47"/>
      <c r="H82" s="47"/>
      <c r="I82" s="47"/>
      <c r="J82" s="47"/>
      <c r="K82" s="47"/>
    </row>
    <row r="83" spans="1:11" x14ac:dyDescent="0.25">
      <c r="A83" s="47"/>
      <c r="B83" s="47"/>
      <c r="C83" s="47"/>
      <c r="D83" s="47"/>
      <c r="E83" s="47"/>
      <c r="F83" s="47"/>
      <c r="G83" s="47"/>
      <c r="H83" s="47"/>
      <c r="I83" s="47"/>
      <c r="J83" s="47"/>
      <c r="K83" s="47"/>
    </row>
    <row r="84" spans="1:11" x14ac:dyDescent="0.25">
      <c r="A84" s="47"/>
      <c r="B84" s="47"/>
      <c r="C84" s="47"/>
      <c r="D84" s="47"/>
      <c r="E84" s="47"/>
      <c r="F84" s="47"/>
      <c r="G84" s="47"/>
      <c r="H84" s="47"/>
      <c r="I84" s="47"/>
      <c r="J84" s="47"/>
      <c r="K84" s="47"/>
    </row>
    <row r="85" spans="1:11" ht="9.75" customHeight="1" x14ac:dyDescent="0.25">
      <c r="A85" s="47"/>
      <c r="B85" s="47"/>
      <c r="C85" s="47"/>
      <c r="D85" s="47"/>
      <c r="E85" s="47"/>
      <c r="F85" s="47"/>
      <c r="G85" s="47"/>
      <c r="H85" s="47"/>
      <c r="I85" s="47"/>
      <c r="J85" s="47"/>
      <c r="K85" s="47"/>
    </row>
    <row r="86" spans="1:11" ht="27.75" customHeight="1" x14ac:dyDescent="0.25">
      <c r="A86" s="47"/>
      <c r="B86" s="47"/>
      <c r="C86" s="47"/>
      <c r="D86" s="47"/>
      <c r="E86" s="47"/>
      <c r="F86" s="47"/>
      <c r="G86" s="47"/>
      <c r="H86" s="47"/>
      <c r="I86" s="47"/>
      <c r="J86" s="47"/>
      <c r="K86" s="47"/>
    </row>
  </sheetData>
  <sortState ref="W1:X13">
    <sortCondition ref="X2"/>
  </sortState>
  <mergeCells count="31">
    <mergeCell ref="B8:B9"/>
    <mergeCell ref="G6:I6"/>
    <mergeCell ref="G7:I7"/>
    <mergeCell ref="G9:I9"/>
    <mergeCell ref="G10:I10"/>
    <mergeCell ref="C9:D9"/>
    <mergeCell ref="C13:D13"/>
    <mergeCell ref="C11:D11"/>
    <mergeCell ref="C14:D14"/>
    <mergeCell ref="G11:I11"/>
    <mergeCell ref="G13:I13"/>
    <mergeCell ref="G14:I14"/>
    <mergeCell ref="A42:K86"/>
    <mergeCell ref="L37:T39"/>
    <mergeCell ref="F39:H39"/>
    <mergeCell ref="B23:E23"/>
    <mergeCell ref="F37:H37"/>
    <mergeCell ref="B32:I32"/>
    <mergeCell ref="B30:I30"/>
    <mergeCell ref="B24:E24"/>
    <mergeCell ref="B26:E26"/>
    <mergeCell ref="B25:E25"/>
    <mergeCell ref="B27:E27"/>
    <mergeCell ref="B19:E19"/>
    <mergeCell ref="B18:E18"/>
    <mergeCell ref="B16:E16"/>
    <mergeCell ref="B17:E17"/>
    <mergeCell ref="A41:K41"/>
    <mergeCell ref="B20:E20"/>
    <mergeCell ref="B21:E21"/>
    <mergeCell ref="B22:E22"/>
  </mergeCells>
  <dataValidations count="2">
    <dataValidation type="list" allowBlank="1" showInputMessage="1" showErrorMessage="1" sqref="M17:M27">
      <formula1>DesignationCombo</formula1>
    </dataValidation>
    <dataValidation type="list" allowBlank="1" showInputMessage="1" showErrorMessage="1" sqref="N17:N27">
      <formula1>CATLIST</formula1>
    </dataValidation>
  </dataValidations>
  <pageMargins left="0.5" right="0.5" top="0.5" bottom="0.5" header="0" footer="0"/>
  <pageSetup orientation="portrait" r:id="rId1"/>
  <headerFooter>
    <oddFooter>&amp;C&amp;9"NORTHSHORE SHEET METAL, INC.
11831 BEVERLY PARK ROAD, BUILDING C * EVERETT, WA 98204 * PHONE: 425.740.3700 * FAX: 425.740.3701
www.northshoresheetmetal.com"</oddFooter>
  </headerFooter>
  <drawing r:id="rId2"/>
  <legacyDrawing r:id="rId3"/>
  <controls>
    <mc:AlternateContent xmlns:mc="http://schemas.openxmlformats.org/markup-compatibility/2006">
      <mc:Choice Requires="x14">
        <control shapeId="1057" r:id="rId4" name="CommandButton13">
          <controlPr defaultSize="0" print="0" autoLine="0" r:id="rId5">
            <anchor moveWithCells="1">
              <from>
                <xdr:col>8</xdr:col>
                <xdr:colOff>257175</xdr:colOff>
                <xdr:row>7</xdr:row>
                <xdr:rowOff>85725</xdr:rowOff>
              </from>
              <to>
                <xdr:col>9</xdr:col>
                <xdr:colOff>0</xdr:colOff>
                <xdr:row>8</xdr:row>
                <xdr:rowOff>161925</xdr:rowOff>
              </to>
            </anchor>
          </controlPr>
        </control>
      </mc:Choice>
      <mc:Fallback>
        <control shapeId="1057" r:id="rId4" name="CommandButton13"/>
      </mc:Fallback>
    </mc:AlternateContent>
    <mc:AlternateContent xmlns:mc="http://schemas.openxmlformats.org/markup-compatibility/2006">
      <mc:Choice Requires="x14">
        <control shapeId="1054" r:id="rId6" name="CommandButton11">
          <controlPr defaultSize="0" print="0" autoLine="0" r:id="rId7">
            <anchor moveWithCells="1">
              <from>
                <xdr:col>3</xdr:col>
                <xdr:colOff>666750</xdr:colOff>
                <xdr:row>26</xdr:row>
                <xdr:rowOff>85725</xdr:rowOff>
              </from>
              <to>
                <xdr:col>4</xdr:col>
                <xdr:colOff>171450</xdr:colOff>
                <xdr:row>27</xdr:row>
                <xdr:rowOff>0</xdr:rowOff>
              </to>
            </anchor>
          </controlPr>
        </control>
      </mc:Choice>
      <mc:Fallback>
        <control shapeId="1054" r:id="rId6" name="CommandButton11"/>
      </mc:Fallback>
    </mc:AlternateContent>
    <mc:AlternateContent xmlns:mc="http://schemas.openxmlformats.org/markup-compatibility/2006">
      <mc:Choice Requires="x14">
        <control shapeId="1053" r:id="rId8" name="CommandButton10">
          <controlPr defaultSize="0" print="0" autoLine="0" r:id="rId9">
            <anchor moveWithCells="1">
              <from>
                <xdr:col>3</xdr:col>
                <xdr:colOff>666750</xdr:colOff>
                <xdr:row>25</xdr:row>
                <xdr:rowOff>85725</xdr:rowOff>
              </from>
              <to>
                <xdr:col>4</xdr:col>
                <xdr:colOff>171450</xdr:colOff>
                <xdr:row>26</xdr:row>
                <xdr:rowOff>0</xdr:rowOff>
              </to>
            </anchor>
          </controlPr>
        </control>
      </mc:Choice>
      <mc:Fallback>
        <control shapeId="1053" r:id="rId8" name="CommandButton10"/>
      </mc:Fallback>
    </mc:AlternateContent>
    <mc:AlternateContent xmlns:mc="http://schemas.openxmlformats.org/markup-compatibility/2006">
      <mc:Choice Requires="x14">
        <control shapeId="1052" r:id="rId10" name="CommandButton9">
          <controlPr defaultSize="0" print="0" autoLine="0" r:id="rId11">
            <anchor moveWithCells="1">
              <from>
                <xdr:col>3</xdr:col>
                <xdr:colOff>666750</xdr:colOff>
                <xdr:row>24</xdr:row>
                <xdr:rowOff>85725</xdr:rowOff>
              </from>
              <to>
                <xdr:col>4</xdr:col>
                <xdr:colOff>171450</xdr:colOff>
                <xdr:row>25</xdr:row>
                <xdr:rowOff>0</xdr:rowOff>
              </to>
            </anchor>
          </controlPr>
        </control>
      </mc:Choice>
      <mc:Fallback>
        <control shapeId="1052" r:id="rId10" name="CommandButton9"/>
      </mc:Fallback>
    </mc:AlternateContent>
    <mc:AlternateContent xmlns:mc="http://schemas.openxmlformats.org/markup-compatibility/2006">
      <mc:Choice Requires="x14">
        <control shapeId="1051" r:id="rId12" name="CommandButton8">
          <controlPr defaultSize="0" print="0" autoLine="0" r:id="rId13">
            <anchor moveWithCells="1">
              <from>
                <xdr:col>3</xdr:col>
                <xdr:colOff>666750</xdr:colOff>
                <xdr:row>23</xdr:row>
                <xdr:rowOff>85725</xdr:rowOff>
              </from>
              <to>
                <xdr:col>4</xdr:col>
                <xdr:colOff>171450</xdr:colOff>
                <xdr:row>24</xdr:row>
                <xdr:rowOff>0</xdr:rowOff>
              </to>
            </anchor>
          </controlPr>
        </control>
      </mc:Choice>
      <mc:Fallback>
        <control shapeId="1051" r:id="rId12" name="CommandButton8"/>
      </mc:Fallback>
    </mc:AlternateContent>
    <mc:AlternateContent xmlns:mc="http://schemas.openxmlformats.org/markup-compatibility/2006">
      <mc:Choice Requires="x14">
        <control shapeId="1050" r:id="rId14" name="CommandButton7">
          <controlPr defaultSize="0" print="0" autoLine="0" r:id="rId15">
            <anchor moveWithCells="1">
              <from>
                <xdr:col>3</xdr:col>
                <xdr:colOff>666750</xdr:colOff>
                <xdr:row>22</xdr:row>
                <xdr:rowOff>85725</xdr:rowOff>
              </from>
              <to>
                <xdr:col>4</xdr:col>
                <xdr:colOff>171450</xdr:colOff>
                <xdr:row>23</xdr:row>
                <xdr:rowOff>0</xdr:rowOff>
              </to>
            </anchor>
          </controlPr>
        </control>
      </mc:Choice>
      <mc:Fallback>
        <control shapeId="1050" r:id="rId14" name="CommandButton7"/>
      </mc:Fallback>
    </mc:AlternateContent>
    <mc:AlternateContent xmlns:mc="http://schemas.openxmlformats.org/markup-compatibility/2006">
      <mc:Choice Requires="x14">
        <control shapeId="1049" r:id="rId16" name="CommandButton6">
          <controlPr defaultSize="0" print="0" autoLine="0" r:id="rId17">
            <anchor moveWithCells="1">
              <from>
                <xdr:col>3</xdr:col>
                <xdr:colOff>666750</xdr:colOff>
                <xdr:row>21</xdr:row>
                <xdr:rowOff>85725</xdr:rowOff>
              </from>
              <to>
                <xdr:col>4</xdr:col>
                <xdr:colOff>171450</xdr:colOff>
                <xdr:row>22</xdr:row>
                <xdr:rowOff>0</xdr:rowOff>
              </to>
            </anchor>
          </controlPr>
        </control>
      </mc:Choice>
      <mc:Fallback>
        <control shapeId="1049" r:id="rId16" name="CommandButton6"/>
      </mc:Fallback>
    </mc:AlternateContent>
    <mc:AlternateContent xmlns:mc="http://schemas.openxmlformats.org/markup-compatibility/2006">
      <mc:Choice Requires="x14">
        <control shapeId="1048" r:id="rId18" name="CommandButton5">
          <controlPr defaultSize="0" print="0" autoLine="0" r:id="rId19">
            <anchor moveWithCells="1">
              <from>
                <xdr:col>3</xdr:col>
                <xdr:colOff>666750</xdr:colOff>
                <xdr:row>20</xdr:row>
                <xdr:rowOff>85725</xdr:rowOff>
              </from>
              <to>
                <xdr:col>4</xdr:col>
                <xdr:colOff>171450</xdr:colOff>
                <xdr:row>21</xdr:row>
                <xdr:rowOff>0</xdr:rowOff>
              </to>
            </anchor>
          </controlPr>
        </control>
      </mc:Choice>
      <mc:Fallback>
        <control shapeId="1048" r:id="rId18" name="CommandButton5"/>
      </mc:Fallback>
    </mc:AlternateContent>
    <mc:AlternateContent xmlns:mc="http://schemas.openxmlformats.org/markup-compatibility/2006">
      <mc:Choice Requires="x14">
        <control shapeId="1047" r:id="rId20" name="CommandButton4">
          <controlPr defaultSize="0" print="0" autoLine="0" r:id="rId21">
            <anchor moveWithCells="1">
              <from>
                <xdr:col>3</xdr:col>
                <xdr:colOff>666750</xdr:colOff>
                <xdr:row>19</xdr:row>
                <xdr:rowOff>85725</xdr:rowOff>
              </from>
              <to>
                <xdr:col>4</xdr:col>
                <xdr:colOff>171450</xdr:colOff>
                <xdr:row>20</xdr:row>
                <xdr:rowOff>0</xdr:rowOff>
              </to>
            </anchor>
          </controlPr>
        </control>
      </mc:Choice>
      <mc:Fallback>
        <control shapeId="1047" r:id="rId20" name="CommandButton4"/>
      </mc:Fallback>
    </mc:AlternateContent>
    <mc:AlternateContent xmlns:mc="http://schemas.openxmlformats.org/markup-compatibility/2006">
      <mc:Choice Requires="x14">
        <control shapeId="1046" r:id="rId22" name="CommandButton3">
          <controlPr defaultSize="0" print="0" autoLine="0" r:id="rId23">
            <anchor moveWithCells="1">
              <from>
                <xdr:col>3</xdr:col>
                <xdr:colOff>666750</xdr:colOff>
                <xdr:row>18</xdr:row>
                <xdr:rowOff>85725</xdr:rowOff>
              </from>
              <to>
                <xdr:col>4</xdr:col>
                <xdr:colOff>171450</xdr:colOff>
                <xdr:row>19</xdr:row>
                <xdr:rowOff>0</xdr:rowOff>
              </to>
            </anchor>
          </controlPr>
        </control>
      </mc:Choice>
      <mc:Fallback>
        <control shapeId="1046" r:id="rId22" name="CommandButton3"/>
      </mc:Fallback>
    </mc:AlternateContent>
    <mc:AlternateContent xmlns:mc="http://schemas.openxmlformats.org/markup-compatibility/2006">
      <mc:Choice Requires="x14">
        <control shapeId="1045" r:id="rId24" name="CommandButton2">
          <controlPr defaultSize="0" print="0" autoLine="0" r:id="rId25">
            <anchor moveWithCells="1">
              <from>
                <xdr:col>3</xdr:col>
                <xdr:colOff>666750</xdr:colOff>
                <xdr:row>17</xdr:row>
                <xdr:rowOff>85725</xdr:rowOff>
              </from>
              <to>
                <xdr:col>4</xdr:col>
                <xdr:colOff>171450</xdr:colOff>
                <xdr:row>18</xdr:row>
                <xdr:rowOff>0</xdr:rowOff>
              </to>
            </anchor>
          </controlPr>
        </control>
      </mc:Choice>
      <mc:Fallback>
        <control shapeId="1045" r:id="rId24" name="CommandButton2"/>
      </mc:Fallback>
    </mc:AlternateContent>
    <mc:AlternateContent xmlns:mc="http://schemas.openxmlformats.org/markup-compatibility/2006">
      <mc:Choice Requires="x14">
        <control shapeId="1044" r:id="rId26" name="des1btn">
          <controlPr defaultSize="0" print="0" autoLine="0" r:id="rId27">
            <anchor moveWithCells="1">
              <from>
                <xdr:col>3</xdr:col>
                <xdr:colOff>666750</xdr:colOff>
                <xdr:row>16</xdr:row>
                <xdr:rowOff>85725</xdr:rowOff>
              </from>
              <to>
                <xdr:col>4</xdr:col>
                <xdr:colOff>171450</xdr:colOff>
                <xdr:row>17</xdr:row>
                <xdr:rowOff>0</xdr:rowOff>
              </to>
            </anchor>
          </controlPr>
        </control>
      </mc:Choice>
      <mc:Fallback>
        <control shapeId="1044" r:id="rId26" name="des1btn"/>
      </mc:Fallback>
    </mc:AlternateContent>
    <mc:AlternateContent xmlns:mc="http://schemas.openxmlformats.org/markup-compatibility/2006">
      <mc:Choice Requires="x14">
        <control shapeId="1035" r:id="rId28" name="CommandButton1">
          <controlPr defaultSize="0" autoLine="0" r:id="rId29">
            <anchor moveWithCells="1">
              <from>
                <xdr:col>11</xdr:col>
                <xdr:colOff>161925</xdr:colOff>
                <xdr:row>3</xdr:row>
                <xdr:rowOff>152400</xdr:rowOff>
              </from>
              <to>
                <xdr:col>11</xdr:col>
                <xdr:colOff>1076325</xdr:colOff>
                <xdr:row>6</xdr:row>
                <xdr:rowOff>47625</xdr:rowOff>
              </to>
            </anchor>
          </controlPr>
        </control>
      </mc:Choice>
      <mc:Fallback>
        <control shapeId="1035" r:id="rId28" name="CommandButton1"/>
      </mc:Fallback>
    </mc:AlternateContent>
    <mc:AlternateContent xmlns:mc="http://schemas.openxmlformats.org/markup-compatibility/2006">
      <mc:Choice Requires="x14">
        <control shapeId="1028" r:id="rId30" name="ClearBtn">
          <controlPr defaultSize="0" autoLine="0" r:id="rId31">
            <anchor moveWithCells="1">
              <from>
                <xdr:col>11</xdr:col>
                <xdr:colOff>161925</xdr:colOff>
                <xdr:row>6</xdr:row>
                <xdr:rowOff>104775</xdr:rowOff>
              </from>
              <to>
                <xdr:col>11</xdr:col>
                <xdr:colOff>1076325</xdr:colOff>
                <xdr:row>9</xdr:row>
                <xdr:rowOff>19050</xdr:rowOff>
              </to>
            </anchor>
          </controlPr>
        </control>
      </mc:Choice>
      <mc:Fallback>
        <control shapeId="1028" r:id="rId30" name="ClearBtn"/>
      </mc:Fallback>
    </mc:AlternateContent>
    <mc:AlternateContent xmlns:mc="http://schemas.openxmlformats.org/markup-compatibility/2006">
      <mc:Choice Requires="x14">
        <control shapeId="1025" r:id="rId32" name="PONumberBtn">
          <controlPr defaultSize="0" autoLine="0" r:id="rId33">
            <anchor moveWithCells="1">
              <from>
                <xdr:col>11</xdr:col>
                <xdr:colOff>161925</xdr:colOff>
                <xdr:row>0</xdr:row>
                <xdr:rowOff>152400</xdr:rowOff>
              </from>
              <to>
                <xdr:col>11</xdr:col>
                <xdr:colOff>1076325</xdr:colOff>
                <xdr:row>3</xdr:row>
                <xdr:rowOff>95250</xdr:rowOff>
              </to>
            </anchor>
          </controlPr>
        </control>
      </mc:Choice>
      <mc:Fallback>
        <control shapeId="1025" r:id="rId32" name="PONumberBtn"/>
      </mc:Fallback>
    </mc:AlternateContent>
    <mc:AlternateContent xmlns:mc="http://schemas.openxmlformats.org/markup-compatibility/2006">
      <mc:Choice Requires="x14">
        <control shapeId="1064" r:id="rId34" name="CommandButton17">
          <controlPr defaultSize="0" print="0" autoLine="0" r:id="rId35">
            <anchor moveWithCells="1">
              <from>
                <xdr:col>3</xdr:col>
                <xdr:colOff>323850</xdr:colOff>
                <xdr:row>13</xdr:row>
                <xdr:rowOff>57150</xdr:rowOff>
              </from>
              <to>
                <xdr:col>4</xdr:col>
                <xdr:colOff>19050</xdr:colOff>
                <xdr:row>14</xdr:row>
                <xdr:rowOff>133350</xdr:rowOff>
              </to>
            </anchor>
          </controlPr>
        </control>
      </mc:Choice>
      <mc:Fallback>
        <control shapeId="1064" r:id="rId34" name="CommandButton17"/>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161</vt:i4>
      </vt:variant>
    </vt:vector>
  </HeadingPairs>
  <TitlesOfParts>
    <vt:vector size="162" baseType="lpstr">
      <vt:lpstr>Sheet1</vt:lpstr>
      <vt:lpstr>ATTN</vt:lpstr>
      <vt:lpstr>CATLIST</vt:lpstr>
      <vt:lpstr>COLOR1</vt:lpstr>
      <vt:lpstr>COLOR10</vt:lpstr>
      <vt:lpstr>COLOR11</vt:lpstr>
      <vt:lpstr>COLOR2</vt:lpstr>
      <vt:lpstr>COLOR3</vt:lpstr>
      <vt:lpstr>COLOR4</vt:lpstr>
      <vt:lpstr>COLOR5</vt:lpstr>
      <vt:lpstr>COLOR6</vt:lpstr>
      <vt:lpstr>COLOR7</vt:lpstr>
      <vt:lpstr>COLOR8</vt:lpstr>
      <vt:lpstr>COLOR9</vt:lpstr>
      <vt:lpstr>DATE</vt:lpstr>
      <vt:lpstr>DATEDELIVERY</vt:lpstr>
      <vt:lpstr>DECRIPTION2</vt:lpstr>
      <vt:lpstr>DESCRIPTION1</vt:lpstr>
      <vt:lpstr>DESCRIPTION10</vt:lpstr>
      <vt:lpstr>DESCRIPTION11</vt:lpstr>
      <vt:lpstr>DESCRIPTION2</vt:lpstr>
      <vt:lpstr>DESCRIPTION3</vt:lpstr>
      <vt:lpstr>DESCRIPTION4</vt:lpstr>
      <vt:lpstr>DESCRIPTION5</vt:lpstr>
      <vt:lpstr>DESCRIPTION6</vt:lpstr>
      <vt:lpstr>DESCRIPTION7</vt:lpstr>
      <vt:lpstr>DESCRIPTION8</vt:lpstr>
      <vt:lpstr>DESCRIPTION9</vt:lpstr>
      <vt:lpstr>DesignationCombo</vt:lpstr>
      <vt:lpstr>HEIGHT1</vt:lpstr>
      <vt:lpstr>HEIGHT10</vt:lpstr>
      <vt:lpstr>HEIGHT11</vt:lpstr>
      <vt:lpstr>HEIGHT2</vt:lpstr>
      <vt:lpstr>HEIGHT3</vt:lpstr>
      <vt:lpstr>HEIGHT4</vt:lpstr>
      <vt:lpstr>HEIGHT5</vt:lpstr>
      <vt:lpstr>HEIGHT6</vt:lpstr>
      <vt:lpstr>HEIGHT7</vt:lpstr>
      <vt:lpstr>HEIGHT8</vt:lpstr>
      <vt:lpstr>HEIGHT9</vt:lpstr>
      <vt:lpstr>MATER1</vt:lpstr>
      <vt:lpstr>MATER10</vt:lpstr>
      <vt:lpstr>MATER11</vt:lpstr>
      <vt:lpstr>MATER2</vt:lpstr>
      <vt:lpstr>MATER3</vt:lpstr>
      <vt:lpstr>MATER4</vt:lpstr>
      <vt:lpstr>MATER5</vt:lpstr>
      <vt:lpstr>MATER6</vt:lpstr>
      <vt:lpstr>MATER7</vt:lpstr>
      <vt:lpstr>MATER8</vt:lpstr>
      <vt:lpstr>MATER9</vt:lpstr>
      <vt:lpstr>MATERIAL1</vt:lpstr>
      <vt:lpstr>MATERIAL10</vt:lpstr>
      <vt:lpstr>MATERIAL11</vt:lpstr>
      <vt:lpstr>MATERIAL2</vt:lpstr>
      <vt:lpstr>MATERIAL3</vt:lpstr>
      <vt:lpstr>MATERIAL4</vt:lpstr>
      <vt:lpstr>MATERIAL5</vt:lpstr>
      <vt:lpstr>MATERIAL6</vt:lpstr>
      <vt:lpstr>MATERIAL7</vt:lpstr>
      <vt:lpstr>MATERIAL8</vt:lpstr>
      <vt:lpstr>MATERIAL9</vt:lpstr>
      <vt:lpstr>MATGAG1</vt:lpstr>
      <vt:lpstr>MATGAG10</vt:lpstr>
      <vt:lpstr>MATGAG11</vt:lpstr>
      <vt:lpstr>MATGAG2</vt:lpstr>
      <vt:lpstr>MATGAG3</vt:lpstr>
      <vt:lpstr>MATGAG4</vt:lpstr>
      <vt:lpstr>MATGAG5</vt:lpstr>
      <vt:lpstr>MATGAG6</vt:lpstr>
      <vt:lpstr>MATGAG7</vt:lpstr>
      <vt:lpstr>MATGAG8</vt:lpstr>
      <vt:lpstr>MATGAG9</vt:lpstr>
      <vt:lpstr>ORDER_BY</vt:lpstr>
      <vt:lpstr>PONUM</vt:lpstr>
      <vt:lpstr>Sheet1!Print_Area</vt:lpstr>
      <vt:lpstr>PROJECT</vt:lpstr>
      <vt:lpstr>PROJECTNUMBER</vt:lpstr>
      <vt:lpstr>PURCHASING</vt:lpstr>
      <vt:lpstr>QUANT1</vt:lpstr>
      <vt:lpstr>QUANT10</vt:lpstr>
      <vt:lpstr>QUANT11</vt:lpstr>
      <vt:lpstr>QUANT2</vt:lpstr>
      <vt:lpstr>QUANT3</vt:lpstr>
      <vt:lpstr>QUANT4</vt:lpstr>
      <vt:lpstr>QUANT5</vt:lpstr>
      <vt:lpstr>QUANT6</vt:lpstr>
      <vt:lpstr>QUANT7</vt:lpstr>
      <vt:lpstr>QUANT8</vt:lpstr>
      <vt:lpstr>QUANT9</vt:lpstr>
      <vt:lpstr>QUNIT1</vt:lpstr>
      <vt:lpstr>QUNIT10</vt:lpstr>
      <vt:lpstr>QUNIT11</vt:lpstr>
      <vt:lpstr>QUNIT2</vt:lpstr>
      <vt:lpstr>QUNIT3</vt:lpstr>
      <vt:lpstr>QUNIT4</vt:lpstr>
      <vt:lpstr>QUNIT5</vt:lpstr>
      <vt:lpstr>QUNIT6</vt:lpstr>
      <vt:lpstr>QUNIT7</vt:lpstr>
      <vt:lpstr>QUNIT8</vt:lpstr>
      <vt:lpstr>QUNIT9</vt:lpstr>
      <vt:lpstr>SHIPTO</vt:lpstr>
      <vt:lpstr>SHIPTOADD1</vt:lpstr>
      <vt:lpstr>SHIPTOADD2</vt:lpstr>
      <vt:lpstr>STOCK1</vt:lpstr>
      <vt:lpstr>STOCK10</vt:lpstr>
      <vt:lpstr>STOCK11</vt:lpstr>
      <vt:lpstr>STOCK2</vt:lpstr>
      <vt:lpstr>STOCK3</vt:lpstr>
      <vt:lpstr>STOCK4</vt:lpstr>
      <vt:lpstr>STOCK5</vt:lpstr>
      <vt:lpstr>STOCK6</vt:lpstr>
      <vt:lpstr>STOCK7</vt:lpstr>
      <vt:lpstr>STOCK8</vt:lpstr>
      <vt:lpstr>STOCK9</vt:lpstr>
      <vt:lpstr>TO</vt:lpstr>
      <vt:lpstr>TOTAL1</vt:lpstr>
      <vt:lpstr>TOTAL10</vt:lpstr>
      <vt:lpstr>TOTAL11</vt:lpstr>
      <vt:lpstr>TOTAL2</vt:lpstr>
      <vt:lpstr>TOTAL3</vt:lpstr>
      <vt:lpstr>TOTAL4</vt:lpstr>
      <vt:lpstr>TOTAL5</vt:lpstr>
      <vt:lpstr>TOTAL6</vt:lpstr>
      <vt:lpstr>TOTAL7</vt:lpstr>
      <vt:lpstr>TOTAL8</vt:lpstr>
      <vt:lpstr>TOTAL9</vt:lpstr>
      <vt:lpstr>UNIT1</vt:lpstr>
      <vt:lpstr>UNIT10</vt:lpstr>
      <vt:lpstr>UNIT11</vt:lpstr>
      <vt:lpstr>UNIT2</vt:lpstr>
      <vt:lpstr>UNIT3</vt:lpstr>
      <vt:lpstr>UNIT4</vt:lpstr>
      <vt:lpstr>UNIT5</vt:lpstr>
      <vt:lpstr>UNIT6</vt:lpstr>
      <vt:lpstr>UNIT7</vt:lpstr>
      <vt:lpstr>UNIT8</vt:lpstr>
      <vt:lpstr>UNIT9</vt:lpstr>
      <vt:lpstr>UNITS1</vt:lpstr>
      <vt:lpstr>UNITS10</vt:lpstr>
      <vt:lpstr>UNITS11</vt:lpstr>
      <vt:lpstr>UNITS2</vt:lpstr>
      <vt:lpstr>UNITS3</vt:lpstr>
      <vt:lpstr>UNITS4</vt:lpstr>
      <vt:lpstr>UNITS5</vt:lpstr>
      <vt:lpstr>UNITS6</vt:lpstr>
      <vt:lpstr>UNITS7</vt:lpstr>
      <vt:lpstr>UNITS8</vt:lpstr>
      <vt:lpstr>UNITS9</vt:lpstr>
      <vt:lpstr>VENDOR</vt:lpstr>
      <vt:lpstr>WIDTH1</vt:lpstr>
      <vt:lpstr>WIDTH10</vt:lpstr>
      <vt:lpstr>WIDTH11</vt:lpstr>
      <vt:lpstr>WIDTH2</vt:lpstr>
      <vt:lpstr>WIDTH3</vt:lpstr>
      <vt:lpstr>WIDTH4</vt:lpstr>
      <vt:lpstr>WIDTH5</vt:lpstr>
      <vt:lpstr>WIDTH6</vt:lpstr>
      <vt:lpstr>WIDTH7</vt:lpstr>
      <vt:lpstr>WIDTH8</vt:lpstr>
      <vt:lpstr>WIDTH9</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2015-04-17T18:34:16Z</cp:lastPrinted>
  <dcterms:created xsi:type="dcterms:W3CDTF">2015-04-07T18:09:51Z</dcterms:created>
  <dcterms:modified xsi:type="dcterms:W3CDTF">2015-04-21T19:35:37Z</dcterms:modified>
</cp:coreProperties>
</file>